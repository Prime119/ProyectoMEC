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 Téc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00000"/>
      <sz val="14"/>
    </font>
    <font>
      <name val="Consolas"/>
      <color rgb="00000000"/>
      <sz val="9"/>
    </font>
    <font>
      <name val="Consolas"/>
      <b val="1"/>
      <color rgb="00000000"/>
      <sz val="7.5"/>
    </font>
    <font>
      <name val="Consolas"/>
      <color rgb="00000000"/>
      <sz val="7.5"/>
    </font>
    <font>
      <name val="Consolas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2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showGridLines="1" workbookViewId="0">
      <selection activeCell="A1" sqref="A1"/>
    </sheetView>
  </sheetViews>
  <sheetFormatPr baseColWidth="8" defaultRowHeight="15"/>
  <cols>
    <col width="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1" t="inlineStr">
        <is>
          <t>MEC INDUSTRIAL ANALYTICS PRO — REPORTE TÉCNICO</t>
        </is>
      </c>
    </row>
    <row r="2">
      <c r="A2" s="2" t="inlineStr">
        <is>
          <t>EQUIPO: MEC-01 | GENERADO: 02/05/2026 01:48:31 PM | REGISTROS: 50 | MODO: MODO SIMULACIÓN</t>
        </is>
      </c>
    </row>
    <row r="4">
      <c r="A4" s="3" t="inlineStr">
        <is>
          <t>Timestamp</t>
        </is>
      </c>
      <c r="B4" s="3" t="inlineStr">
        <is>
          <t>Tensión(V)</t>
        </is>
      </c>
      <c r="C4" s="3" t="inlineStr">
        <is>
          <t>Corr(A)</t>
        </is>
      </c>
      <c r="D4" s="3" t="inlineStr">
        <is>
          <t>P.Act(W)</t>
        </is>
      </c>
      <c r="E4" s="3" t="inlineStr">
        <is>
          <t>P.Rea(VAr)</t>
        </is>
      </c>
      <c r="F4" s="3" t="inlineStr">
        <is>
          <t>P.Apa(VA)</t>
        </is>
      </c>
      <c r="G4" s="3" t="inlineStr">
        <is>
          <t>F.P.</t>
        </is>
      </c>
      <c r="H4" s="3" t="inlineStr">
        <is>
          <t>THD(%)</t>
        </is>
      </c>
      <c r="I4" s="3" t="inlineStr">
        <is>
          <t>Vib(mm/s)</t>
        </is>
      </c>
      <c r="J4" s="3" t="inlineStr">
        <is>
          <t>Freq(Hz)</t>
        </is>
      </c>
      <c r="K4" s="3" t="inlineStr">
        <is>
          <t>Temp(°C)</t>
        </is>
      </c>
      <c r="L4" s="3" t="inlineStr">
        <is>
          <t>f_RMS</t>
        </is>
      </c>
      <c r="M4" s="3" t="inlineStr">
        <is>
          <t>Salud(%)</t>
        </is>
      </c>
      <c r="N4" s="3" t="inlineStr">
        <is>
          <t>H1(%)</t>
        </is>
      </c>
      <c r="O4" s="3" t="inlineStr">
        <is>
          <t>H3(%)</t>
        </is>
      </c>
      <c r="P4" s="3" t="inlineStr">
        <is>
          <t>H5(%)</t>
        </is>
      </c>
      <c r="Q4" s="3" t="inlineStr">
        <is>
          <t>H7(%)</t>
        </is>
      </c>
      <c r="R4" s="3" t="inlineStr">
        <is>
          <t>H9(%)</t>
        </is>
      </c>
      <c r="T4" s="4" t="inlineStr">
        <is>
          <t>ANÁLISIS DEL SISTEMA EXPERTO (IA)</t>
        </is>
      </c>
      <c r="U4" s="5" t="n"/>
      <c r="V4" s="5" t="n"/>
      <c r="W4" s="5" t="n"/>
    </row>
    <row r="5">
      <c r="A5" s="6" t="inlineStr">
        <is>
          <t>01:47:42 PM</t>
        </is>
      </c>
      <c r="B5" s="6" t="n">
        <v>126.71</v>
      </c>
      <c r="C5" s="6" t="n">
        <v>18.721</v>
      </c>
      <c r="D5" s="7">
        <f>B5*C5*G5</f>
        <v/>
      </c>
      <c r="E5" s="7">
        <f>SQRT(MAX(0, F5^2 - D5^2))</f>
        <v/>
      </c>
      <c r="F5" s="7">
        <f>B5*C5</f>
        <v/>
      </c>
      <c r="G5" s="6" t="n">
        <v>0.8788</v>
      </c>
      <c r="H5" s="6" t="n">
        <v>4.75</v>
      </c>
      <c r="I5" s="6" t="n">
        <v>1.799</v>
      </c>
      <c r="J5" s="6" t="n">
        <v>60</v>
      </c>
      <c r="K5" s="6" t="n">
        <v>45.2</v>
      </c>
      <c r="L5" s="7">
        <f>SQRT((B5^2+C5^2+D5^2+E5^2+F5^2+G5^2+H5^2+I5^2+J5^2+K5^2)/10)</f>
        <v/>
      </c>
      <c r="M5" s="7">
        <f>MAX(0, MIN(1, 1 - (I5/15)*0.7 - (H5/30)*0.3))*100</f>
        <v/>
      </c>
      <c r="N5" s="7">
        <f>100</f>
        <v/>
      </c>
      <c r="O5" s="7">
        <f>H5*2.0</f>
        <v/>
      </c>
      <c r="P5" s="7">
        <f>H5*1.5</f>
        <v/>
      </c>
      <c r="Q5" s="7">
        <f>H5*1.0</f>
        <v/>
      </c>
      <c r="R5" s="7">
        <f>H5*0.7</f>
        <v/>
      </c>
      <c r="T5" s="8" t="inlineStr">
        <is>
          <t xml:space="preserve">Hora: 13:48:30  | SISTEMA EXPERTO CFE-IA
======================================
🤖 ESTADO DE LA IA: PREVENCIÓN
📢 DICTAMEN: ⚠️ AVISO: Comportamiento inusual detectado. Monitorear carga.
======================================
🧠 OPINIÓN DEL SISTEMA EXPERTO
► Condición aceptable. Programar mantenimiento preventivo próximo mes.
--------------------------------------
⚡ SEÑALES ELÉCTRICAS
--------------------------------------
Tensión     : 126.24   V
Corriente   : 19.18    A
Pot. Aparente:2421    VA
Pot Activa :2120   W
Pot Reactiv:1169   VAr
Factor Pot.:0.88   
--------------------------------------
🔧 CONDICIÓN MECÁNICA
--------------------------------------
THD:4.5    %
Vibración:1.76   mm/s
Temp:45.0   °C
Salud:87.3%]
--------------------------------------
🔍 VALORES EFICACES (RMS)
--------------------------------------
&gt;&gt; V_RMS : 125.9010 V   [√(1/T·∫v(t)²dt)]
&gt;&gt; I_RMS : 19.1510 A   [√(1/T·∫i(t)²dt)]
&gt;&gt; F_RMS : 49.1033 √(V·A)  [√(Vrms · Irms)]
======================================
</t>
        </is>
      </c>
      <c r="U5" s="5" t="n"/>
      <c r="V5" s="5" t="n"/>
      <c r="W5" s="5" t="n"/>
    </row>
    <row r="6">
      <c r="A6" s="6" t="inlineStr">
        <is>
          <t>01:47:43 PM</t>
        </is>
      </c>
      <c r="B6" s="6" t="n">
        <v>127.34</v>
      </c>
      <c r="C6" s="6" t="n">
        <v>18.462</v>
      </c>
      <c r="D6" s="7">
        <f>B6*C6*G6</f>
        <v/>
      </c>
      <c r="E6" s="7">
        <f>SQRT(MAX(0, F6^2 - D6^2))</f>
        <v/>
      </c>
      <c r="F6" s="7">
        <f>B6*C6</f>
        <v/>
      </c>
      <c r="G6" s="6" t="n">
        <v>0.8778</v>
      </c>
      <c r="H6" s="6" t="n">
        <v>4.6</v>
      </c>
      <c r="I6" s="6" t="n">
        <v>1.743</v>
      </c>
      <c r="J6" s="6" t="n">
        <v>60</v>
      </c>
      <c r="K6" s="6" t="n">
        <v>45.2</v>
      </c>
      <c r="L6" s="7">
        <f>SQRT((B6^2+C6^2+D6^2+E6^2+F6^2+G6^2+H6^2+I6^2+J6^2+K6^2)/10)</f>
        <v/>
      </c>
      <c r="M6" s="7">
        <f>MAX(0, MIN(1, 1 - (I6/15)*0.7 - (H6/30)*0.3))*100</f>
        <v/>
      </c>
      <c r="N6" s="7">
        <f>100</f>
        <v/>
      </c>
      <c r="O6" s="7">
        <f>H6*2.0</f>
        <v/>
      </c>
      <c r="P6" s="7">
        <f>H6*1.5</f>
        <v/>
      </c>
      <c r="Q6" s="7">
        <f>H6*1.0</f>
        <v/>
      </c>
      <c r="R6" s="7">
        <f>H6*0.7</f>
        <v/>
      </c>
      <c r="T6" s="5" t="n"/>
      <c r="U6" s="5" t="n"/>
      <c r="V6" s="5" t="n"/>
      <c r="W6" s="5" t="n"/>
    </row>
    <row r="7">
      <c r="A7" s="6" t="inlineStr">
        <is>
          <t>01:47:43 PM</t>
        </is>
      </c>
      <c r="B7" s="6" t="n">
        <v>127.98</v>
      </c>
      <c r="C7" s="6" t="n">
        <v>17.93</v>
      </c>
      <c r="D7" s="7">
        <f>B7*C7*G7</f>
        <v/>
      </c>
      <c r="E7" s="7">
        <f>SQRT(MAX(0, F7^2 - D7^2))</f>
        <v/>
      </c>
      <c r="F7" s="7">
        <f>B7*C7</f>
        <v/>
      </c>
      <c r="G7" s="6" t="n">
        <v>0.8816000000000001</v>
      </c>
      <c r="H7" s="6" t="n">
        <v>4.35</v>
      </c>
      <c r="I7" s="6" t="n">
        <v>1.695</v>
      </c>
      <c r="J7" s="6" t="n">
        <v>60</v>
      </c>
      <c r="K7" s="6" t="n">
        <v>45.2</v>
      </c>
      <c r="L7" s="7">
        <f>SQRT((B7^2+C7^2+D7^2+E7^2+F7^2+G7^2+H7^2+I7^2+J7^2+K7^2)/10)</f>
        <v/>
      </c>
      <c r="M7" s="7">
        <f>MAX(0, MIN(1, 1 - (I7/15)*0.7 - (H7/30)*0.3))*100</f>
        <v/>
      </c>
      <c r="N7" s="7">
        <f>100</f>
        <v/>
      </c>
      <c r="O7" s="7">
        <f>H7*2.0</f>
        <v/>
      </c>
      <c r="P7" s="7">
        <f>H7*1.5</f>
        <v/>
      </c>
      <c r="Q7" s="7">
        <f>H7*1.0</f>
        <v/>
      </c>
      <c r="R7" s="7">
        <f>H7*0.7</f>
        <v/>
      </c>
      <c r="T7" s="5" t="n"/>
      <c r="U7" s="5" t="n"/>
      <c r="V7" s="5" t="n"/>
      <c r="W7" s="5" t="n"/>
    </row>
    <row r="8">
      <c r="A8" s="6" t="inlineStr">
        <is>
          <t>01:47:45 PM</t>
        </is>
      </c>
      <c r="B8" s="6" t="n">
        <v>128.29</v>
      </c>
      <c r="C8" s="6" t="n">
        <v>17.742</v>
      </c>
      <c r="D8" s="7">
        <f>B8*C8*G8</f>
        <v/>
      </c>
      <c r="E8" s="7">
        <f>SQRT(MAX(0, F8^2 - D8^2))</f>
        <v/>
      </c>
      <c r="F8" s="7">
        <f>B8*C8</f>
        <v/>
      </c>
      <c r="G8" s="6" t="n">
        <v>0.8752</v>
      </c>
      <c r="H8" s="6" t="n">
        <v>4.44</v>
      </c>
      <c r="I8" s="6" t="n">
        <v>1.714</v>
      </c>
      <c r="J8" s="6" t="n">
        <v>60</v>
      </c>
      <c r="K8" s="6" t="n">
        <v>45.2</v>
      </c>
      <c r="L8" s="7">
        <f>SQRT((B8^2+C8^2+D8^2+E8^2+F8^2+G8^2+H8^2+I8^2+J8^2+K8^2)/10)</f>
        <v/>
      </c>
      <c r="M8" s="7">
        <f>MAX(0, MIN(1, 1 - (I8/15)*0.7 - (H8/30)*0.3))*100</f>
        <v/>
      </c>
      <c r="N8" s="7">
        <f>100</f>
        <v/>
      </c>
      <c r="O8" s="7">
        <f>H8*2.0</f>
        <v/>
      </c>
      <c r="P8" s="7">
        <f>H8*1.5</f>
        <v/>
      </c>
      <c r="Q8" s="7">
        <f>H8*1.0</f>
        <v/>
      </c>
      <c r="R8" s="7">
        <f>H8*0.7</f>
        <v/>
      </c>
      <c r="T8" s="5" t="n"/>
      <c r="U8" s="5" t="n"/>
      <c r="V8" s="5" t="n"/>
      <c r="W8" s="5" t="n"/>
    </row>
    <row r="9">
      <c r="A9" s="6" t="inlineStr">
        <is>
          <t>01:47:45 PM</t>
        </is>
      </c>
      <c r="B9" s="6" t="n">
        <v>128.26</v>
      </c>
      <c r="C9" s="6" t="n">
        <v>17.694</v>
      </c>
      <c r="D9" s="7">
        <f>B9*C9*G9</f>
        <v/>
      </c>
      <c r="E9" s="7">
        <f>SQRT(MAX(0, F9^2 - D9^2))</f>
        <v/>
      </c>
      <c r="F9" s="7">
        <f>B9*C9</f>
        <v/>
      </c>
      <c r="G9" s="6" t="n">
        <v>0.8758</v>
      </c>
      <c r="H9" s="6" t="n">
        <v>4.27</v>
      </c>
      <c r="I9" s="6" t="n">
        <v>1.702</v>
      </c>
      <c r="J9" s="6" t="n">
        <v>60</v>
      </c>
      <c r="K9" s="6" t="n">
        <v>45.2</v>
      </c>
      <c r="L9" s="7">
        <f>SQRT((B9^2+C9^2+D9^2+E9^2+F9^2+G9^2+H9^2+I9^2+J9^2+K9^2)/10)</f>
        <v/>
      </c>
      <c r="M9" s="7">
        <f>MAX(0, MIN(1, 1 - (I9/15)*0.7 - (H9/30)*0.3))*100</f>
        <v/>
      </c>
      <c r="N9" s="7">
        <f>100</f>
        <v/>
      </c>
      <c r="O9" s="7">
        <f>H9*2.0</f>
        <v/>
      </c>
      <c r="P9" s="7">
        <f>H9*1.5</f>
        <v/>
      </c>
      <c r="Q9" s="7">
        <f>H9*1.0</f>
        <v/>
      </c>
      <c r="R9" s="7">
        <f>H9*0.7</f>
        <v/>
      </c>
      <c r="T9" s="5" t="n"/>
      <c r="U9" s="5" t="n"/>
      <c r="V9" s="5" t="n"/>
      <c r="W9" s="5" t="n"/>
    </row>
    <row r="10">
      <c r="A10" s="6" t="inlineStr">
        <is>
          <t>01:47:46 PM</t>
        </is>
      </c>
      <c r="B10" s="6" t="n">
        <v>128.26</v>
      </c>
      <c r="C10" s="6" t="n">
        <v>17.82</v>
      </c>
      <c r="D10" s="7">
        <f>B10*C10*G10</f>
        <v/>
      </c>
      <c r="E10" s="7">
        <f>SQRT(MAX(0, F10^2 - D10^2))</f>
        <v/>
      </c>
      <c r="F10" s="7">
        <f>B10*C10</f>
        <v/>
      </c>
      <c r="G10" s="6" t="n">
        <v>0.8804999999999999</v>
      </c>
      <c r="H10" s="6" t="n">
        <v>4.41</v>
      </c>
      <c r="I10" s="6" t="n">
        <v>1.776</v>
      </c>
      <c r="J10" s="6" t="n">
        <v>60</v>
      </c>
      <c r="K10" s="6" t="n">
        <v>45.1</v>
      </c>
      <c r="L10" s="7">
        <f>SQRT((B10^2+C10^2+D10^2+E10^2+F10^2+G10^2+H10^2+I10^2+J10^2+K10^2)/10)</f>
        <v/>
      </c>
      <c r="M10" s="7">
        <f>MAX(0, MIN(1, 1 - (I10/15)*0.7 - (H10/30)*0.3))*100</f>
        <v/>
      </c>
      <c r="N10" s="7">
        <f>100</f>
        <v/>
      </c>
      <c r="O10" s="7">
        <f>H10*2.0</f>
        <v/>
      </c>
      <c r="P10" s="7">
        <f>H10*1.5</f>
        <v/>
      </c>
      <c r="Q10" s="7">
        <f>H10*1.0</f>
        <v/>
      </c>
      <c r="R10" s="7">
        <f>H10*0.7</f>
        <v/>
      </c>
      <c r="T10" s="5" t="n"/>
      <c r="U10" s="5" t="n"/>
      <c r="V10" s="5" t="n"/>
      <c r="W10" s="5" t="n"/>
    </row>
    <row r="11">
      <c r="A11" s="6" t="inlineStr">
        <is>
          <t>01:47:47 PM</t>
        </is>
      </c>
      <c r="B11" s="6" t="n">
        <v>127.8</v>
      </c>
      <c r="C11" s="6" t="n">
        <v>18.118</v>
      </c>
      <c r="D11" s="7">
        <f>B11*C11*G11</f>
        <v/>
      </c>
      <c r="E11" s="7">
        <f>SQRT(MAX(0, F11^2 - D11^2))</f>
        <v/>
      </c>
      <c r="F11" s="7">
        <f>B11*C11</f>
        <v/>
      </c>
      <c r="G11" s="6" t="n">
        <v>0.8792</v>
      </c>
      <c r="H11" s="6" t="n">
        <v>4.27</v>
      </c>
      <c r="I11" s="6" t="n">
        <v>1.755</v>
      </c>
      <c r="J11" s="6" t="n">
        <v>60</v>
      </c>
      <c r="K11" s="6" t="n">
        <v>45.1</v>
      </c>
      <c r="L11" s="7">
        <f>SQRT((B11^2+C11^2+D11^2+E11^2+F11^2+G11^2+H11^2+I11^2+J11^2+K11^2)/10)</f>
        <v/>
      </c>
      <c r="M11" s="7">
        <f>MAX(0, MIN(1, 1 - (I11/15)*0.7 - (H11/30)*0.3))*100</f>
        <v/>
      </c>
      <c r="N11" s="7">
        <f>100</f>
        <v/>
      </c>
      <c r="O11" s="7">
        <f>H11*2.0</f>
        <v/>
      </c>
      <c r="P11" s="7">
        <f>H11*1.5</f>
        <v/>
      </c>
      <c r="Q11" s="7">
        <f>H11*1.0</f>
        <v/>
      </c>
      <c r="R11" s="7">
        <f>H11*0.7</f>
        <v/>
      </c>
      <c r="T11" s="5" t="n"/>
      <c r="U11" s="5" t="n"/>
      <c r="V11" s="5" t="n"/>
      <c r="W11" s="5" t="n"/>
    </row>
    <row r="12">
      <c r="A12" s="6" t="inlineStr">
        <is>
          <t>01:47:49 PM</t>
        </is>
      </c>
      <c r="B12" s="6" t="n">
        <v>127.21</v>
      </c>
      <c r="C12" s="6" t="n">
        <v>18.551</v>
      </c>
      <c r="D12" s="7">
        <f>B12*C12*G12</f>
        <v/>
      </c>
      <c r="E12" s="7">
        <f>SQRT(MAX(0, F12^2 - D12^2))</f>
        <v/>
      </c>
      <c r="F12" s="7">
        <f>B12*C12</f>
        <v/>
      </c>
      <c r="G12" s="6" t="n">
        <v>0.8829</v>
      </c>
      <c r="H12" s="6" t="n">
        <v>4.44</v>
      </c>
      <c r="I12" s="6" t="n">
        <v>1.803</v>
      </c>
      <c r="J12" s="6" t="n">
        <v>60</v>
      </c>
      <c r="K12" s="6" t="n">
        <v>45</v>
      </c>
      <c r="L12" s="7">
        <f>SQRT((B12^2+C12^2+D12^2+E12^2+F12^2+G12^2+H12^2+I12^2+J12^2+K12^2)/10)</f>
        <v/>
      </c>
      <c r="M12" s="7">
        <f>MAX(0, MIN(1, 1 - (I12/15)*0.7 - (H12/30)*0.3))*100</f>
        <v/>
      </c>
      <c r="N12" s="7">
        <f>100</f>
        <v/>
      </c>
      <c r="O12" s="7">
        <f>H12*2.0</f>
        <v/>
      </c>
      <c r="P12" s="7">
        <f>H12*1.5</f>
        <v/>
      </c>
      <c r="Q12" s="7">
        <f>H12*1.0</f>
        <v/>
      </c>
      <c r="R12" s="7">
        <f>H12*0.7</f>
        <v/>
      </c>
      <c r="T12" s="5" t="n"/>
      <c r="U12" s="5" t="n"/>
      <c r="V12" s="5" t="n"/>
      <c r="W12" s="5" t="n"/>
    </row>
    <row r="13">
      <c r="A13" s="6" t="inlineStr">
        <is>
          <t>01:47:50 PM</t>
        </is>
      </c>
      <c r="B13" s="6" t="n">
        <v>126.72</v>
      </c>
      <c r="C13" s="6" t="n">
        <v>18.922</v>
      </c>
      <c r="D13" s="7">
        <f>B13*C13*G13</f>
        <v/>
      </c>
      <c r="E13" s="7">
        <f>SQRT(MAX(0, F13^2 - D13^2))</f>
        <v/>
      </c>
      <c r="F13" s="7">
        <f>B13*C13</f>
        <v/>
      </c>
      <c r="G13" s="6" t="n">
        <v>0.8766</v>
      </c>
      <c r="H13" s="6" t="n">
        <v>4.5</v>
      </c>
      <c r="I13" s="6" t="n">
        <v>1.847</v>
      </c>
      <c r="J13" s="6" t="n">
        <v>60</v>
      </c>
      <c r="K13" s="6" t="n">
        <v>44.9</v>
      </c>
      <c r="L13" s="7">
        <f>SQRT((B13^2+C13^2+D13^2+E13^2+F13^2+G13^2+H13^2+I13^2+J13^2+K13^2)/10)</f>
        <v/>
      </c>
      <c r="M13" s="7">
        <f>MAX(0, MIN(1, 1 - (I13/15)*0.7 - (H13/30)*0.3))*100</f>
        <v/>
      </c>
      <c r="N13" s="7">
        <f>100</f>
        <v/>
      </c>
      <c r="O13" s="7">
        <f>H13*2.0</f>
        <v/>
      </c>
      <c r="P13" s="7">
        <f>H13*1.5</f>
        <v/>
      </c>
      <c r="Q13" s="7">
        <f>H13*1.0</f>
        <v/>
      </c>
      <c r="R13" s="7">
        <f>H13*0.7</f>
        <v/>
      </c>
      <c r="T13" s="5" t="n"/>
      <c r="U13" s="5" t="n"/>
      <c r="V13" s="5" t="n"/>
      <c r="W13" s="5" t="n"/>
    </row>
    <row r="14">
      <c r="A14" s="6" t="inlineStr">
        <is>
          <t>01:47:51 PM</t>
        </is>
      </c>
      <c r="B14" s="6" t="n">
        <v>126.21</v>
      </c>
      <c r="C14" s="6" t="n">
        <v>19.187</v>
      </c>
      <c r="D14" s="7">
        <f>B14*C14*G14</f>
        <v/>
      </c>
      <c r="E14" s="7">
        <f>SQRT(MAX(0, F14^2 - D14^2))</f>
        <v/>
      </c>
      <c r="F14" s="7">
        <f>B14*C14</f>
        <v/>
      </c>
      <c r="G14" s="6" t="n">
        <v>0.8752</v>
      </c>
      <c r="H14" s="6" t="n">
        <v>4.83</v>
      </c>
      <c r="I14" s="6" t="n">
        <v>1.816</v>
      </c>
      <c r="J14" s="6" t="n">
        <v>60</v>
      </c>
      <c r="K14" s="6" t="n">
        <v>44.9</v>
      </c>
      <c r="L14" s="7">
        <f>SQRT((B14^2+C14^2+D14^2+E14^2+F14^2+G14^2+H14^2+I14^2+J14^2+K14^2)/10)</f>
        <v/>
      </c>
      <c r="M14" s="7">
        <f>MAX(0, MIN(1, 1 - (I14/15)*0.7 - (H14/30)*0.3))*100</f>
        <v/>
      </c>
      <c r="N14" s="7">
        <f>100</f>
        <v/>
      </c>
      <c r="O14" s="7">
        <f>H14*2.0</f>
        <v/>
      </c>
      <c r="P14" s="7">
        <f>H14*1.5</f>
        <v/>
      </c>
      <c r="Q14" s="7">
        <f>H14*1.0</f>
        <v/>
      </c>
      <c r="R14" s="7">
        <f>H14*0.7</f>
        <v/>
      </c>
      <c r="T14" s="5" t="n"/>
      <c r="U14" s="5" t="n"/>
      <c r="V14" s="5" t="n"/>
      <c r="W14" s="5" t="n"/>
    </row>
    <row r="15">
      <c r="A15" s="6" t="inlineStr">
        <is>
          <t>01:47:52 PM</t>
        </is>
      </c>
      <c r="B15" s="6" t="n">
        <v>126.07</v>
      </c>
      <c r="C15" s="6" t="n">
        <v>19.27</v>
      </c>
      <c r="D15" s="7">
        <f>B15*C15*G15</f>
        <v/>
      </c>
      <c r="E15" s="7">
        <f>SQRT(MAX(0, F15^2 - D15^2))</f>
        <v/>
      </c>
      <c r="F15" s="7">
        <f>B15*C15</f>
        <v/>
      </c>
      <c r="G15" s="6" t="n">
        <v>0.8817</v>
      </c>
      <c r="H15" s="6" t="n">
        <v>4.81</v>
      </c>
      <c r="I15" s="6" t="n">
        <v>1.872</v>
      </c>
      <c r="J15" s="6" t="n">
        <v>60</v>
      </c>
      <c r="K15" s="6" t="n">
        <v>44.8</v>
      </c>
      <c r="L15" s="7">
        <f>SQRT((B15^2+C15^2+D15^2+E15^2+F15^2+G15^2+H15^2+I15^2+J15^2+K15^2)/10)</f>
        <v/>
      </c>
      <c r="M15" s="7">
        <f>MAX(0, MIN(1, 1 - (I15/15)*0.7 - (H15/30)*0.3))*100</f>
        <v/>
      </c>
      <c r="N15" s="7">
        <f>100</f>
        <v/>
      </c>
      <c r="O15" s="7">
        <f>H15*2.0</f>
        <v/>
      </c>
      <c r="P15" s="7">
        <f>H15*1.5</f>
        <v/>
      </c>
      <c r="Q15" s="7">
        <f>H15*1.0</f>
        <v/>
      </c>
      <c r="R15" s="7">
        <f>H15*0.7</f>
        <v/>
      </c>
      <c r="T15" s="5" t="n"/>
      <c r="U15" s="5" t="n"/>
      <c r="V15" s="5" t="n"/>
      <c r="W15" s="5" t="n"/>
    </row>
    <row r="16">
      <c r="A16" s="6" t="inlineStr">
        <is>
          <t>01:47:53 PM</t>
        </is>
      </c>
      <c r="B16" s="6" t="n">
        <v>126.19</v>
      </c>
      <c r="C16" s="6" t="n">
        <v>19.228</v>
      </c>
      <c r="D16" s="7">
        <f>B16*C16*G16</f>
        <v/>
      </c>
      <c r="E16" s="7">
        <f>SQRT(MAX(0, F16^2 - D16^2))</f>
        <v/>
      </c>
      <c r="F16" s="7">
        <f>B16*C16</f>
        <v/>
      </c>
      <c r="G16" s="6" t="n">
        <v>0.88</v>
      </c>
      <c r="H16" s="6" t="n">
        <v>4.73</v>
      </c>
      <c r="I16" s="6" t="n">
        <v>1.895</v>
      </c>
      <c r="J16" s="6" t="n">
        <v>60</v>
      </c>
      <c r="K16" s="6" t="n">
        <v>44.8</v>
      </c>
      <c r="L16" s="7">
        <f>SQRT((B16^2+C16^2+D16^2+E16^2+F16^2+G16^2+H16^2+I16^2+J16^2+K16^2)/10)</f>
        <v/>
      </c>
      <c r="M16" s="7">
        <f>MAX(0, MIN(1, 1 - (I16/15)*0.7 - (H16/30)*0.3))*100</f>
        <v/>
      </c>
      <c r="N16" s="7">
        <f>100</f>
        <v/>
      </c>
      <c r="O16" s="7">
        <f>H16*2.0</f>
        <v/>
      </c>
      <c r="P16" s="7">
        <f>H16*1.5</f>
        <v/>
      </c>
      <c r="Q16" s="7">
        <f>H16*1.0</f>
        <v/>
      </c>
      <c r="R16" s="7">
        <f>H16*0.7</f>
        <v/>
      </c>
      <c r="T16" s="5" t="n"/>
      <c r="U16" s="5" t="n"/>
      <c r="V16" s="5" t="n"/>
      <c r="W16" s="5" t="n"/>
    </row>
    <row r="17">
      <c r="A17" s="6" t="inlineStr">
        <is>
          <t>01:47:53 PM</t>
        </is>
      </c>
      <c r="B17" s="6" t="n">
        <v>126.43</v>
      </c>
      <c r="C17" s="6" t="n">
        <v>18.881</v>
      </c>
      <c r="D17" s="7">
        <f>B17*C17*G17</f>
        <v/>
      </c>
      <c r="E17" s="7">
        <f>SQRT(MAX(0, F17^2 - D17^2))</f>
        <v/>
      </c>
      <c r="F17" s="7">
        <f>B17*C17</f>
        <v/>
      </c>
      <c r="G17" s="6" t="n">
        <v>0.879</v>
      </c>
      <c r="H17" s="6" t="n">
        <v>4.44</v>
      </c>
      <c r="I17" s="6" t="n">
        <v>1.896</v>
      </c>
      <c r="J17" s="6" t="n">
        <v>60</v>
      </c>
      <c r="K17" s="6" t="n">
        <v>44.8</v>
      </c>
      <c r="L17" s="7">
        <f>SQRT((B17^2+C17^2+D17^2+E17^2+F17^2+G17^2+H17^2+I17^2+J17^2+K17^2)/10)</f>
        <v/>
      </c>
      <c r="M17" s="7">
        <f>MAX(0, MIN(1, 1 - (I17/15)*0.7 - (H17/30)*0.3))*100</f>
        <v/>
      </c>
      <c r="N17" s="7">
        <f>100</f>
        <v/>
      </c>
      <c r="O17" s="7">
        <f>H17*2.0</f>
        <v/>
      </c>
      <c r="P17" s="7">
        <f>H17*1.5</f>
        <v/>
      </c>
      <c r="Q17" s="7">
        <f>H17*1.0</f>
        <v/>
      </c>
      <c r="R17" s="7">
        <f>H17*0.7</f>
        <v/>
      </c>
      <c r="T17" s="5" t="n"/>
      <c r="U17" s="5" t="n"/>
      <c r="V17" s="5" t="n"/>
      <c r="W17" s="5" t="n"/>
    </row>
    <row r="18">
      <c r="A18" s="6" t="inlineStr">
        <is>
          <t>01:47:54 PM</t>
        </is>
      </c>
      <c r="B18" s="6" t="n">
        <v>127.04</v>
      </c>
      <c r="C18" s="6" t="n">
        <v>18.549</v>
      </c>
      <c r="D18" s="7">
        <f>B18*C18*G18</f>
        <v/>
      </c>
      <c r="E18" s="7">
        <f>SQRT(MAX(0, F18^2 - D18^2))</f>
        <v/>
      </c>
      <c r="F18" s="7">
        <f>B18*C18</f>
        <v/>
      </c>
      <c r="G18" s="6" t="n">
        <v>0.8751</v>
      </c>
      <c r="H18" s="6" t="n">
        <v>4.33</v>
      </c>
      <c r="I18" s="6" t="n">
        <v>1.853</v>
      </c>
      <c r="J18" s="6" t="n">
        <v>60</v>
      </c>
      <c r="K18" s="6" t="n">
        <v>44.8</v>
      </c>
      <c r="L18" s="7">
        <f>SQRT((B18^2+C18^2+D18^2+E18^2+F18^2+G18^2+H18^2+I18^2+J18^2+K18^2)/10)</f>
        <v/>
      </c>
      <c r="M18" s="7">
        <f>MAX(0, MIN(1, 1 - (I18/15)*0.7 - (H18/30)*0.3))*100</f>
        <v/>
      </c>
      <c r="N18" s="7">
        <f>100</f>
        <v/>
      </c>
      <c r="O18" s="7">
        <f>H18*2.0</f>
        <v/>
      </c>
      <c r="P18" s="7">
        <f>H18*1.5</f>
        <v/>
      </c>
      <c r="Q18" s="7">
        <f>H18*1.0</f>
        <v/>
      </c>
      <c r="R18" s="7">
        <f>H18*0.7</f>
        <v/>
      </c>
      <c r="T18" s="5" t="n"/>
      <c r="U18" s="5" t="n"/>
      <c r="V18" s="5" t="n"/>
      <c r="W18" s="5" t="n"/>
    </row>
    <row r="19">
      <c r="A19" s="6" t="inlineStr">
        <is>
          <t>01:47:56 PM</t>
        </is>
      </c>
      <c r="B19" s="6" t="n">
        <v>127.7</v>
      </c>
      <c r="C19" s="6" t="n">
        <v>18.167</v>
      </c>
      <c r="D19" s="7">
        <f>B19*C19*G19</f>
        <v/>
      </c>
      <c r="E19" s="7">
        <f>SQRT(MAX(0, F19^2 - D19^2))</f>
        <v/>
      </c>
      <c r="F19" s="7">
        <f>B19*C19</f>
        <v/>
      </c>
      <c r="G19" s="6" t="n">
        <v>0.8837</v>
      </c>
      <c r="H19" s="6" t="n">
        <v>4.24</v>
      </c>
      <c r="I19" s="6" t="n">
        <v>1.817</v>
      </c>
      <c r="J19" s="6" t="n">
        <v>60</v>
      </c>
      <c r="K19" s="6" t="n">
        <v>44.8</v>
      </c>
      <c r="L19" s="7">
        <f>SQRT((B19^2+C19^2+D19^2+E19^2+F19^2+G19^2+H19^2+I19^2+J19^2+K19^2)/10)</f>
        <v/>
      </c>
      <c r="M19" s="7">
        <f>MAX(0, MIN(1, 1 - (I19/15)*0.7 - (H19/30)*0.3))*100</f>
        <v/>
      </c>
      <c r="N19" s="7">
        <f>100</f>
        <v/>
      </c>
      <c r="O19" s="7">
        <f>H19*2.0</f>
        <v/>
      </c>
      <c r="P19" s="7">
        <f>H19*1.5</f>
        <v/>
      </c>
      <c r="Q19" s="7">
        <f>H19*1.0</f>
        <v/>
      </c>
      <c r="R19" s="7">
        <f>H19*0.7</f>
        <v/>
      </c>
      <c r="T19" s="5" t="n"/>
      <c r="U19" s="5" t="n"/>
      <c r="V19" s="5" t="n"/>
      <c r="W19" s="5" t="n"/>
    </row>
    <row r="20">
      <c r="A20" s="6" t="inlineStr">
        <is>
          <t>01:47:56 PM</t>
        </is>
      </c>
      <c r="B20" s="6" t="n">
        <v>128.14</v>
      </c>
      <c r="C20" s="6" t="n">
        <v>17.804</v>
      </c>
      <c r="D20" s="7">
        <f>B20*C20*G20</f>
        <v/>
      </c>
      <c r="E20" s="7">
        <f>SQRT(MAX(0, F20^2 - D20^2))</f>
        <v/>
      </c>
      <c r="F20" s="7">
        <f>B20*C20</f>
        <v/>
      </c>
      <c r="G20" s="6" t="n">
        <v>0.8845</v>
      </c>
      <c r="H20" s="6" t="n">
        <v>4.38</v>
      </c>
      <c r="I20" s="6" t="n">
        <v>1.801</v>
      </c>
      <c r="J20" s="6" t="n">
        <v>60</v>
      </c>
      <c r="K20" s="6" t="n">
        <v>44.9</v>
      </c>
      <c r="L20" s="7">
        <f>SQRT((B20^2+C20^2+D20^2+E20^2+F20^2+G20^2+H20^2+I20^2+J20^2+K20^2)/10)</f>
        <v/>
      </c>
      <c r="M20" s="7">
        <f>MAX(0, MIN(1, 1 - (I20/15)*0.7 - (H20/30)*0.3))*100</f>
        <v/>
      </c>
      <c r="N20" s="7">
        <f>100</f>
        <v/>
      </c>
      <c r="O20" s="7">
        <f>H20*2.0</f>
        <v/>
      </c>
      <c r="P20" s="7">
        <f>H20*1.5</f>
        <v/>
      </c>
      <c r="Q20" s="7">
        <f>H20*1.0</f>
        <v/>
      </c>
      <c r="R20" s="7">
        <f>H20*0.7</f>
        <v/>
      </c>
      <c r="T20" s="5" t="n"/>
      <c r="U20" s="5" t="n"/>
      <c r="V20" s="5" t="n"/>
      <c r="W20" s="5" t="n"/>
    </row>
    <row r="21">
      <c r="A21" s="6" t="inlineStr">
        <is>
          <t>01:47:57 PM</t>
        </is>
      </c>
      <c r="B21" s="6" t="n">
        <v>128.37</v>
      </c>
      <c r="C21" s="6" t="n">
        <v>17.739</v>
      </c>
      <c r="D21" s="7">
        <f>B21*C21*G21</f>
        <v/>
      </c>
      <c r="E21" s="7">
        <f>SQRT(MAX(0, F21^2 - D21^2))</f>
        <v/>
      </c>
      <c r="F21" s="7">
        <f>B21*C21</f>
        <v/>
      </c>
      <c r="G21" s="6" t="n">
        <v>0.8764999999999999</v>
      </c>
      <c r="H21" s="6" t="n">
        <v>4.42</v>
      </c>
      <c r="I21" s="6" t="n">
        <v>1.724</v>
      </c>
      <c r="J21" s="6" t="n">
        <v>60</v>
      </c>
      <c r="K21" s="6" t="n">
        <v>44.9</v>
      </c>
      <c r="L21" s="7">
        <f>SQRT((B21^2+C21^2+D21^2+E21^2+F21^2+G21^2+H21^2+I21^2+J21^2+K21^2)/10)</f>
        <v/>
      </c>
      <c r="M21" s="7">
        <f>MAX(0, MIN(1, 1 - (I21/15)*0.7 - (H21/30)*0.3))*100</f>
        <v/>
      </c>
      <c r="N21" s="7">
        <f>100</f>
        <v/>
      </c>
      <c r="O21" s="7">
        <f>H21*2.0</f>
        <v/>
      </c>
      <c r="P21" s="7">
        <f>H21*1.5</f>
        <v/>
      </c>
      <c r="Q21" s="7">
        <f>H21*1.0</f>
        <v/>
      </c>
      <c r="R21" s="7">
        <f>H21*0.7</f>
        <v/>
      </c>
      <c r="T21" s="5" t="n"/>
      <c r="U21" s="5" t="n"/>
      <c r="V21" s="5" t="n"/>
      <c r="W21" s="5" t="n"/>
    </row>
    <row r="22">
      <c r="A22" s="6" t="inlineStr">
        <is>
          <t>01:47:59 PM</t>
        </is>
      </c>
      <c r="B22" s="6" t="n">
        <v>128.36</v>
      </c>
      <c r="C22" s="6" t="n">
        <v>17.702</v>
      </c>
      <c r="D22" s="7">
        <f>B22*C22*G22</f>
        <v/>
      </c>
      <c r="E22" s="7">
        <f>SQRT(MAX(0, F22^2 - D22^2))</f>
        <v/>
      </c>
      <c r="F22" s="7">
        <f>B22*C22</f>
        <v/>
      </c>
      <c r="G22" s="6" t="n">
        <v>0.8757</v>
      </c>
      <c r="H22" s="6" t="n">
        <v>4.51</v>
      </c>
      <c r="I22" s="6" t="n">
        <v>1.774</v>
      </c>
      <c r="J22" s="6" t="n">
        <v>60</v>
      </c>
      <c r="K22" s="6" t="n">
        <v>45</v>
      </c>
      <c r="L22" s="7">
        <f>SQRT((B22^2+C22^2+D22^2+E22^2+F22^2+G22^2+H22^2+I22^2+J22^2+K22^2)/10)</f>
        <v/>
      </c>
      <c r="M22" s="7">
        <f>MAX(0, MIN(1, 1 - (I22/15)*0.7 - (H22/30)*0.3))*100</f>
        <v/>
      </c>
      <c r="N22" s="7">
        <f>100</f>
        <v/>
      </c>
      <c r="O22" s="7">
        <f>H22*2.0</f>
        <v/>
      </c>
      <c r="P22" s="7">
        <f>H22*1.5</f>
        <v/>
      </c>
      <c r="Q22" s="7">
        <f>H22*1.0</f>
        <v/>
      </c>
      <c r="R22" s="7">
        <f>H22*0.7</f>
        <v/>
      </c>
      <c r="T22" s="5" t="n"/>
      <c r="U22" s="5" t="n"/>
      <c r="V22" s="5" t="n"/>
      <c r="W22" s="5" t="n"/>
    </row>
    <row r="23">
      <c r="A23" s="6" t="inlineStr">
        <is>
          <t>01:47:59 PM</t>
        </is>
      </c>
      <c r="B23" s="6" t="n">
        <v>128.1</v>
      </c>
      <c r="C23" s="6" t="n">
        <v>17.866</v>
      </c>
      <c r="D23" s="7">
        <f>B23*C23*G23</f>
        <v/>
      </c>
      <c r="E23" s="7">
        <f>SQRT(MAX(0, F23^2 - D23^2))</f>
        <v/>
      </c>
      <c r="F23" s="7">
        <f>B23*C23</f>
        <v/>
      </c>
      <c r="G23" s="6" t="n">
        <v>0.8829</v>
      </c>
      <c r="H23" s="6" t="n">
        <v>4.61</v>
      </c>
      <c r="I23" s="6" t="n">
        <v>1.732</v>
      </c>
      <c r="J23" s="6" t="n">
        <v>60</v>
      </c>
      <c r="K23" s="6" t="n">
        <v>45</v>
      </c>
      <c r="L23" s="7">
        <f>SQRT((B23^2+C23^2+D23^2+E23^2+F23^2+G23^2+H23^2+I23^2+J23^2+K23^2)/10)</f>
        <v/>
      </c>
      <c r="M23" s="7">
        <f>MAX(0, MIN(1, 1 - (I23/15)*0.7 - (H23/30)*0.3))*100</f>
        <v/>
      </c>
      <c r="N23" s="7">
        <f>100</f>
        <v/>
      </c>
      <c r="O23" s="7">
        <f>H23*2.0</f>
        <v/>
      </c>
      <c r="P23" s="7">
        <f>H23*1.5</f>
        <v/>
      </c>
      <c r="Q23" s="7">
        <f>H23*1.0</f>
        <v/>
      </c>
      <c r="R23" s="7">
        <f>H23*0.7</f>
        <v/>
      </c>
      <c r="T23" s="5" t="n"/>
      <c r="U23" s="5" t="n"/>
      <c r="V23" s="5" t="n"/>
      <c r="W23" s="5" t="n"/>
    </row>
    <row r="24">
      <c r="A24" s="6" t="inlineStr">
        <is>
          <t>01:48:00 PM</t>
        </is>
      </c>
      <c r="B24" s="6" t="n">
        <v>127.49</v>
      </c>
      <c r="C24" s="6" t="n">
        <v>18.342</v>
      </c>
      <c r="D24" s="7">
        <f>B24*C24*G24</f>
        <v/>
      </c>
      <c r="E24" s="7">
        <f>SQRT(MAX(0, F24^2 - D24^2))</f>
        <v/>
      </c>
      <c r="F24" s="7">
        <f>B24*C24</f>
        <v/>
      </c>
      <c r="G24" s="6" t="n">
        <v>0.8768</v>
      </c>
      <c r="H24" s="6" t="n">
        <v>4.71</v>
      </c>
      <c r="I24" s="6" t="n">
        <v>1.725</v>
      </c>
      <c r="J24" s="6" t="n">
        <v>60</v>
      </c>
      <c r="K24" s="6" t="n">
        <v>45.1</v>
      </c>
      <c r="L24" s="7">
        <f>SQRT((B24^2+C24^2+D24^2+E24^2+F24^2+G24^2+H24^2+I24^2+J24^2+K24^2)/10)</f>
        <v/>
      </c>
      <c r="M24" s="7">
        <f>MAX(0, MIN(1, 1 - (I24/15)*0.7 - (H24/30)*0.3))*100</f>
        <v/>
      </c>
      <c r="N24" s="7">
        <f>100</f>
        <v/>
      </c>
      <c r="O24" s="7">
        <f>H24*2.0</f>
        <v/>
      </c>
      <c r="P24" s="7">
        <f>H24*1.5</f>
        <v/>
      </c>
      <c r="Q24" s="7">
        <f>H24*1.0</f>
        <v/>
      </c>
      <c r="R24" s="7">
        <f>H24*0.7</f>
        <v/>
      </c>
      <c r="T24" s="5" t="n"/>
      <c r="U24" s="5" t="n"/>
      <c r="V24" s="5" t="n"/>
      <c r="W24" s="5" t="n"/>
    </row>
    <row r="25">
      <c r="A25" s="6" t="inlineStr">
        <is>
          <t>01:48:02 PM</t>
        </is>
      </c>
      <c r="B25" s="6" t="n">
        <v>127</v>
      </c>
      <c r="C25" s="6" t="n">
        <v>18.625</v>
      </c>
      <c r="D25" s="7">
        <f>B25*C25*G25</f>
        <v/>
      </c>
      <c r="E25" s="7">
        <f>SQRT(MAX(0, F25^2 - D25^2))</f>
        <v/>
      </c>
      <c r="F25" s="7">
        <f>B25*C25</f>
        <v/>
      </c>
      <c r="G25" s="6" t="n">
        <v>0.8844</v>
      </c>
      <c r="H25" s="6" t="n">
        <v>4.63</v>
      </c>
      <c r="I25" s="6" t="n">
        <v>1.74</v>
      </c>
      <c r="J25" s="6" t="n">
        <v>60</v>
      </c>
      <c r="K25" s="6" t="n">
        <v>45.1</v>
      </c>
      <c r="L25" s="7">
        <f>SQRT((B25^2+C25^2+D25^2+E25^2+F25^2+G25^2+H25^2+I25^2+J25^2+K25^2)/10)</f>
        <v/>
      </c>
      <c r="M25" s="7">
        <f>MAX(0, MIN(1, 1 - (I25/15)*0.7 - (H25/30)*0.3))*100</f>
        <v/>
      </c>
      <c r="N25" s="7">
        <f>100</f>
        <v/>
      </c>
      <c r="O25" s="7">
        <f>H25*2.0</f>
        <v/>
      </c>
      <c r="P25" s="7">
        <f>H25*1.5</f>
        <v/>
      </c>
      <c r="Q25" s="7">
        <f>H25*1.0</f>
        <v/>
      </c>
      <c r="R25" s="7">
        <f>H25*0.7</f>
        <v/>
      </c>
      <c r="T25" s="5" t="n"/>
      <c r="U25" s="5" t="n"/>
      <c r="V25" s="5" t="n"/>
      <c r="W25" s="5" t="n"/>
    </row>
    <row r="26">
      <c r="A26" s="6" t="inlineStr">
        <is>
          <t>01:48:02 PM</t>
        </is>
      </c>
      <c r="B26" s="6" t="n">
        <v>126.5</v>
      </c>
      <c r="C26" s="6" t="n">
        <v>19.026</v>
      </c>
      <c r="D26" s="7">
        <f>B26*C26*G26</f>
        <v/>
      </c>
      <c r="E26" s="7">
        <f>SQRT(MAX(0, F26^2 - D26^2))</f>
        <v/>
      </c>
      <c r="F26" s="7">
        <f>B26*C26</f>
        <v/>
      </c>
      <c r="G26" s="6" t="n">
        <v>0.8825</v>
      </c>
      <c r="H26" s="6" t="n">
        <v>4.76</v>
      </c>
      <c r="I26" s="6" t="n">
        <v>1.728</v>
      </c>
      <c r="J26" s="6" t="n">
        <v>60</v>
      </c>
      <c r="K26" s="6" t="n">
        <v>45.2</v>
      </c>
      <c r="L26" s="7">
        <f>SQRT((B26^2+C26^2+D26^2+E26^2+F26^2+G26^2+H26^2+I26^2+J26^2+K26^2)/10)</f>
        <v/>
      </c>
      <c r="M26" s="7">
        <f>MAX(0, MIN(1, 1 - (I26/15)*0.7 - (H26/30)*0.3))*100</f>
        <v/>
      </c>
      <c r="N26" s="7">
        <f>100</f>
        <v/>
      </c>
      <c r="O26" s="7">
        <f>H26*2.0</f>
        <v/>
      </c>
      <c r="P26" s="7">
        <f>H26*1.5</f>
        <v/>
      </c>
      <c r="Q26" s="7">
        <f>H26*1.0</f>
        <v/>
      </c>
      <c r="R26" s="7">
        <f>H26*0.7</f>
        <v/>
      </c>
      <c r="T26" s="5" t="n"/>
      <c r="U26" s="5" t="n"/>
      <c r="V26" s="5" t="n"/>
      <c r="W26" s="5" t="n"/>
    </row>
    <row r="27">
      <c r="A27" s="6" t="inlineStr">
        <is>
          <t>01:48:03 PM</t>
        </is>
      </c>
      <c r="B27" s="6" t="n">
        <v>126.13</v>
      </c>
      <c r="C27" s="6" t="n">
        <v>19.305</v>
      </c>
      <c r="D27" s="7">
        <f>B27*C27*G27</f>
        <v/>
      </c>
      <c r="E27" s="7">
        <f>SQRT(MAX(0, F27^2 - D27^2))</f>
        <v/>
      </c>
      <c r="F27" s="7">
        <f>B27*C27</f>
        <v/>
      </c>
      <c r="G27" s="6" t="n">
        <v>0.8777</v>
      </c>
      <c r="H27" s="6" t="n">
        <v>4.69</v>
      </c>
      <c r="I27" s="6" t="n">
        <v>1.778</v>
      </c>
      <c r="J27" s="6" t="n">
        <v>60</v>
      </c>
      <c r="K27" s="6" t="n">
        <v>45.2</v>
      </c>
      <c r="L27" s="7">
        <f>SQRT((B27^2+C27^2+D27^2+E27^2+F27^2+G27^2+H27^2+I27^2+J27^2+K27^2)/10)</f>
        <v/>
      </c>
      <c r="M27" s="7">
        <f>MAX(0, MIN(1, 1 - (I27/15)*0.7 - (H27/30)*0.3))*100</f>
        <v/>
      </c>
      <c r="N27" s="7">
        <f>100</f>
        <v/>
      </c>
      <c r="O27" s="7">
        <f>H27*2.0</f>
        <v/>
      </c>
      <c r="P27" s="7">
        <f>H27*1.5</f>
        <v/>
      </c>
      <c r="Q27" s="7">
        <f>H27*1.0</f>
        <v/>
      </c>
      <c r="R27" s="7">
        <f>H27*0.7</f>
        <v/>
      </c>
      <c r="T27" s="5" t="n"/>
      <c r="U27" s="5" t="n"/>
      <c r="V27" s="5" t="n"/>
      <c r="W27" s="5" t="n"/>
    </row>
    <row r="28">
      <c r="A28" s="6" t="inlineStr">
        <is>
          <t>01:48:04 PM</t>
        </is>
      </c>
      <c r="B28" s="6" t="n">
        <v>126.02</v>
      </c>
      <c r="C28" s="6" t="n">
        <v>19.248</v>
      </c>
      <c r="D28" s="7">
        <f>B28*C28*G28</f>
        <v/>
      </c>
      <c r="E28" s="7">
        <f>SQRT(MAX(0, F28^2 - D28^2))</f>
        <v/>
      </c>
      <c r="F28" s="7">
        <f>B28*C28</f>
        <v/>
      </c>
      <c r="G28" s="6" t="n">
        <v>0.8769</v>
      </c>
      <c r="H28" s="6" t="n">
        <v>4.44</v>
      </c>
      <c r="I28" s="6" t="n">
        <v>1.796</v>
      </c>
      <c r="J28" s="6" t="n">
        <v>60</v>
      </c>
      <c r="K28" s="6" t="n">
        <v>45.2</v>
      </c>
      <c r="L28" s="7">
        <f>SQRT((B28^2+C28^2+D28^2+E28^2+F28^2+G28^2+H28^2+I28^2+J28^2+K28^2)/10)</f>
        <v/>
      </c>
      <c r="M28" s="7">
        <f>MAX(0, MIN(1, 1 - (I28/15)*0.7 - (H28/30)*0.3))*100</f>
        <v/>
      </c>
      <c r="N28" s="7">
        <f>100</f>
        <v/>
      </c>
      <c r="O28" s="7">
        <f>H28*2.0</f>
        <v/>
      </c>
      <c r="P28" s="7">
        <f>H28*1.5</f>
        <v/>
      </c>
      <c r="Q28" s="7">
        <f>H28*1.0</f>
        <v/>
      </c>
      <c r="R28" s="7">
        <f>H28*0.7</f>
        <v/>
      </c>
      <c r="T28" s="5" t="n"/>
      <c r="U28" s="5" t="n"/>
      <c r="V28" s="5" t="n"/>
      <c r="W28" s="5" t="n"/>
    </row>
    <row r="29">
      <c r="A29" s="6" t="inlineStr">
        <is>
          <t>01:48:06 PM</t>
        </is>
      </c>
      <c r="B29" s="6" t="n">
        <v>126.23</v>
      </c>
      <c r="C29" s="6" t="n">
        <v>19.176</v>
      </c>
      <c r="D29" s="7">
        <f>B29*C29*G29</f>
        <v/>
      </c>
      <c r="E29" s="7">
        <f>SQRT(MAX(0, F29^2 - D29^2))</f>
        <v/>
      </c>
      <c r="F29" s="7">
        <f>B29*C29</f>
        <v/>
      </c>
      <c r="G29" s="6" t="n">
        <v>0.8815</v>
      </c>
      <c r="H29" s="6" t="n">
        <v>4.38</v>
      </c>
      <c r="I29" s="6" t="n">
        <v>1.853</v>
      </c>
      <c r="J29" s="6" t="n">
        <v>60</v>
      </c>
      <c r="K29" s="6" t="n">
        <v>45.2</v>
      </c>
      <c r="L29" s="7">
        <f>SQRT((B29^2+C29^2+D29^2+E29^2+F29^2+G29^2+H29^2+I29^2+J29^2+K29^2)/10)</f>
        <v/>
      </c>
      <c r="M29" s="7">
        <f>MAX(0, MIN(1, 1 - (I29/15)*0.7 - (H29/30)*0.3))*100</f>
        <v/>
      </c>
      <c r="N29" s="7">
        <f>100</f>
        <v/>
      </c>
      <c r="O29" s="7">
        <f>H29*2.0</f>
        <v/>
      </c>
      <c r="P29" s="7">
        <f>H29*1.5</f>
        <v/>
      </c>
      <c r="Q29" s="7">
        <f>H29*1.0</f>
        <v/>
      </c>
      <c r="R29" s="7">
        <f>H29*0.7</f>
        <v/>
      </c>
      <c r="T29" s="5" t="n"/>
      <c r="U29" s="5" t="n"/>
      <c r="V29" s="5" t="n"/>
      <c r="W29" s="5" t="n"/>
    </row>
    <row r="30">
      <c r="A30" s="6" t="inlineStr">
        <is>
          <t>01:48:06 PM</t>
        </is>
      </c>
      <c r="B30" s="6" t="n">
        <v>126.87</v>
      </c>
      <c r="C30" s="6" t="n">
        <v>18.783</v>
      </c>
      <c r="D30" s="7">
        <f>B30*C30*G30</f>
        <v/>
      </c>
      <c r="E30" s="7">
        <f>SQRT(MAX(0, F30^2 - D30^2))</f>
        <v/>
      </c>
      <c r="F30" s="7">
        <f>B30*C30</f>
        <v/>
      </c>
      <c r="G30" s="6" t="n">
        <v>0.8774</v>
      </c>
      <c r="H30" s="6" t="n">
        <v>4.23</v>
      </c>
      <c r="I30" s="6" t="n">
        <v>1.863</v>
      </c>
      <c r="J30" s="6" t="n">
        <v>60</v>
      </c>
      <c r="K30" s="6" t="n">
        <v>45.2</v>
      </c>
      <c r="L30" s="7">
        <f>SQRT((B30^2+C30^2+D30^2+E30^2+F30^2+G30^2+H30^2+I30^2+J30^2+K30^2)/10)</f>
        <v/>
      </c>
      <c r="M30" s="7">
        <f>MAX(0, MIN(1, 1 - (I30/15)*0.7 - (H30/30)*0.3))*100</f>
        <v/>
      </c>
      <c r="N30" s="7">
        <f>100</f>
        <v/>
      </c>
      <c r="O30" s="7">
        <f>H30*2.0</f>
        <v/>
      </c>
      <c r="P30" s="7">
        <f>H30*1.5</f>
        <v/>
      </c>
      <c r="Q30" s="7">
        <f>H30*1.0</f>
        <v/>
      </c>
      <c r="R30" s="7">
        <f>H30*0.7</f>
        <v/>
      </c>
      <c r="T30" s="5" t="n"/>
      <c r="U30" s="5" t="n"/>
      <c r="V30" s="5" t="n"/>
      <c r="W30" s="5" t="n"/>
    </row>
    <row r="31">
      <c r="A31" s="6" t="inlineStr">
        <is>
          <t>01:48:08 PM</t>
        </is>
      </c>
      <c r="B31" s="6" t="n">
        <v>127.38</v>
      </c>
      <c r="C31" s="6" t="n">
        <v>18.512</v>
      </c>
      <c r="D31" s="7">
        <f>B31*C31*G31</f>
        <v/>
      </c>
      <c r="E31" s="7">
        <f>SQRT(MAX(0, F31^2 - D31^2))</f>
        <v/>
      </c>
      <c r="F31" s="7">
        <f>B31*C31</f>
        <v/>
      </c>
      <c r="G31" s="6" t="n">
        <v>0.8839</v>
      </c>
      <c r="H31" s="6" t="n">
        <v>4.31</v>
      </c>
      <c r="I31" s="6" t="n">
        <v>1.885</v>
      </c>
      <c r="J31" s="6" t="n">
        <v>60</v>
      </c>
      <c r="K31" s="6" t="n">
        <v>45.1</v>
      </c>
      <c r="L31" s="7">
        <f>SQRT((B31^2+C31^2+D31^2+E31^2+F31^2+G31^2+H31^2+I31^2+J31^2+K31^2)/10)</f>
        <v/>
      </c>
      <c r="M31" s="7">
        <f>MAX(0, MIN(1, 1 - (I31/15)*0.7 - (H31/30)*0.3))*100</f>
        <v/>
      </c>
      <c r="N31" s="7">
        <f>100</f>
        <v/>
      </c>
      <c r="O31" s="7">
        <f>H31*2.0</f>
        <v/>
      </c>
      <c r="P31" s="7">
        <f>H31*1.5</f>
        <v/>
      </c>
      <c r="Q31" s="7">
        <f>H31*1.0</f>
        <v/>
      </c>
      <c r="R31" s="7">
        <f>H31*0.7</f>
        <v/>
      </c>
      <c r="T31" s="5" t="n"/>
      <c r="U31" s="5" t="n"/>
      <c r="V31" s="5" t="n"/>
      <c r="W31" s="5" t="n"/>
    </row>
    <row r="32">
      <c r="A32" s="6" t="inlineStr">
        <is>
          <t>01:48:08 PM</t>
        </is>
      </c>
      <c r="B32" s="6" t="n">
        <v>127.86</v>
      </c>
      <c r="C32" s="6" t="n">
        <v>18.147</v>
      </c>
      <c r="D32" s="7">
        <f>B32*C32*G32</f>
        <v/>
      </c>
      <c r="E32" s="7">
        <f>SQRT(MAX(0, F32^2 - D32^2))</f>
        <v/>
      </c>
      <c r="F32" s="7">
        <f>B32*C32</f>
        <v/>
      </c>
      <c r="G32" s="6" t="n">
        <v>0.8788</v>
      </c>
      <c r="H32" s="6" t="n">
        <v>4.42</v>
      </c>
      <c r="I32" s="6" t="n">
        <v>1.899</v>
      </c>
      <c r="J32" s="6" t="n">
        <v>60</v>
      </c>
      <c r="K32" s="6" t="n">
        <v>45.1</v>
      </c>
      <c r="L32" s="7">
        <f>SQRT((B32^2+C32^2+D32^2+E32^2+F32^2+G32^2+H32^2+I32^2+J32^2+K32^2)/10)</f>
        <v/>
      </c>
      <c r="M32" s="7">
        <f>MAX(0, MIN(1, 1 - (I32/15)*0.7 - (H32/30)*0.3))*100</f>
        <v/>
      </c>
      <c r="N32" s="7">
        <f>100</f>
        <v/>
      </c>
      <c r="O32" s="7">
        <f>H32*2.0</f>
        <v/>
      </c>
      <c r="P32" s="7">
        <f>H32*1.5</f>
        <v/>
      </c>
      <c r="Q32" s="7">
        <f>H32*1.0</f>
        <v/>
      </c>
      <c r="R32" s="7">
        <f>H32*0.7</f>
        <v/>
      </c>
      <c r="T32" s="5" t="n"/>
      <c r="U32" s="5" t="n"/>
      <c r="V32" s="5" t="n"/>
      <c r="W32" s="5" t="n"/>
    </row>
    <row r="33">
      <c r="A33" s="6" t="inlineStr">
        <is>
          <t>01:48:09 PM</t>
        </is>
      </c>
      <c r="B33" s="6" t="n">
        <v>128.13</v>
      </c>
      <c r="C33" s="6" t="n">
        <v>17.863</v>
      </c>
      <c r="D33" s="7">
        <f>B33*C33*G33</f>
        <v/>
      </c>
      <c r="E33" s="7">
        <f>SQRT(MAX(0, F33^2 - D33^2))</f>
        <v/>
      </c>
      <c r="F33" s="7">
        <f>B33*C33</f>
        <v/>
      </c>
      <c r="G33" s="6" t="n">
        <v>0.88</v>
      </c>
      <c r="H33" s="6" t="n">
        <v>4.54</v>
      </c>
      <c r="I33" s="6" t="n">
        <v>1.85</v>
      </c>
      <c r="J33" s="6" t="n">
        <v>60</v>
      </c>
      <c r="K33" s="6" t="n">
        <v>45</v>
      </c>
      <c r="L33" s="7">
        <f>SQRT((B33^2+C33^2+D33^2+E33^2+F33^2+G33^2+H33^2+I33^2+J33^2+K33^2)/10)</f>
        <v/>
      </c>
      <c r="M33" s="7">
        <f>MAX(0, MIN(1, 1 - (I33/15)*0.7 - (H33/30)*0.3))*100</f>
        <v/>
      </c>
      <c r="N33" s="7">
        <f>100</f>
        <v/>
      </c>
      <c r="O33" s="7">
        <f>H33*2.0</f>
        <v/>
      </c>
      <c r="P33" s="7">
        <f>H33*1.5</f>
        <v/>
      </c>
      <c r="Q33" s="7">
        <f>H33*1.0</f>
        <v/>
      </c>
      <c r="R33" s="7">
        <f>H33*0.7</f>
        <v/>
      </c>
      <c r="T33" s="5" t="n"/>
      <c r="U33" s="5" t="n"/>
      <c r="V33" s="5" t="n"/>
      <c r="W33" s="5" t="n"/>
    </row>
    <row r="34">
      <c r="A34" s="6" t="inlineStr">
        <is>
          <t>01:48:11 PM</t>
        </is>
      </c>
      <c r="B34" s="6" t="n">
        <v>128.37</v>
      </c>
      <c r="C34" s="6" t="n">
        <v>17.646</v>
      </c>
      <c r="D34" s="7">
        <f>B34*C34*G34</f>
        <v/>
      </c>
      <c r="E34" s="7">
        <f>SQRT(MAX(0, F34^2 - D34^2))</f>
        <v/>
      </c>
      <c r="F34" s="7">
        <f>B34*C34</f>
        <v/>
      </c>
      <c r="G34" s="6" t="n">
        <v>0.8783</v>
      </c>
      <c r="H34" s="6" t="n">
        <v>4.66</v>
      </c>
      <c r="I34" s="6" t="n">
        <v>1.813</v>
      </c>
      <c r="J34" s="6" t="n">
        <v>60</v>
      </c>
      <c r="K34" s="6" t="n">
        <v>44.9</v>
      </c>
      <c r="L34" s="7">
        <f>SQRT((B34^2+C34^2+D34^2+E34^2+F34^2+G34^2+H34^2+I34^2+J34^2+K34^2)/10)</f>
        <v/>
      </c>
      <c r="M34" s="7">
        <f>MAX(0, MIN(1, 1 - (I34/15)*0.7 - (H34/30)*0.3))*100</f>
        <v/>
      </c>
      <c r="N34" s="7">
        <f>100</f>
        <v/>
      </c>
      <c r="O34" s="7">
        <f>H34*2.0</f>
        <v/>
      </c>
      <c r="P34" s="7">
        <f>H34*1.5</f>
        <v/>
      </c>
      <c r="Q34" s="7">
        <f>H34*1.0</f>
        <v/>
      </c>
      <c r="R34" s="7">
        <f>H34*0.7</f>
        <v/>
      </c>
      <c r="T34" s="5" t="n"/>
      <c r="U34" s="5" t="n"/>
      <c r="V34" s="5" t="n"/>
      <c r="W34" s="5" t="n"/>
    </row>
    <row r="35">
      <c r="A35" s="6" t="inlineStr">
        <is>
          <t>01:48:12 PM</t>
        </is>
      </c>
      <c r="B35" s="6" t="n">
        <v>128.39</v>
      </c>
      <c r="C35" s="6" t="n">
        <v>17.774</v>
      </c>
      <c r="D35" s="7">
        <f>B35*C35*G35</f>
        <v/>
      </c>
      <c r="E35" s="7">
        <f>SQRT(MAX(0, F35^2 - D35^2))</f>
        <v/>
      </c>
      <c r="F35" s="7">
        <f>B35*C35</f>
        <v/>
      </c>
      <c r="G35" s="6" t="n">
        <v>0.8761</v>
      </c>
      <c r="H35" s="6" t="n">
        <v>4.64</v>
      </c>
      <c r="I35" s="6" t="n">
        <v>1.775</v>
      </c>
      <c r="J35" s="6" t="n">
        <v>60</v>
      </c>
      <c r="K35" s="6" t="n">
        <v>44.9</v>
      </c>
      <c r="L35" s="7">
        <f>SQRT((B35^2+C35^2+D35^2+E35^2+F35^2+G35^2+H35^2+I35^2+J35^2+K35^2)/10)</f>
        <v/>
      </c>
      <c r="M35" s="7">
        <f>MAX(0, MIN(1, 1 - (I35/15)*0.7 - (H35/30)*0.3))*100</f>
        <v/>
      </c>
      <c r="N35" s="7">
        <f>100</f>
        <v/>
      </c>
      <c r="O35" s="7">
        <f>H35*2.0</f>
        <v/>
      </c>
      <c r="P35" s="7">
        <f>H35*1.5</f>
        <v/>
      </c>
      <c r="Q35" s="7">
        <f>H35*1.0</f>
        <v/>
      </c>
      <c r="R35" s="7">
        <f>H35*0.7</f>
        <v/>
      </c>
      <c r="T35" s="5" t="n"/>
      <c r="U35" s="5" t="n"/>
      <c r="V35" s="5" t="n"/>
      <c r="W35" s="5" t="n"/>
    </row>
    <row r="36">
      <c r="A36" s="6" t="inlineStr">
        <is>
          <t>01:48:12 PM</t>
        </is>
      </c>
      <c r="B36" s="6" t="n">
        <v>127.73</v>
      </c>
      <c r="C36" s="6" t="n">
        <v>18.101</v>
      </c>
      <c r="D36" s="7">
        <f>B36*C36*G36</f>
        <v/>
      </c>
      <c r="E36" s="7">
        <f>SQRT(MAX(0, F36^2 - D36^2))</f>
        <v/>
      </c>
      <c r="F36" s="7">
        <f>B36*C36</f>
        <v/>
      </c>
      <c r="G36" s="6" t="n">
        <v>0.8833</v>
      </c>
      <c r="H36" s="6" t="n">
        <v>4.66</v>
      </c>
      <c r="I36" s="6" t="n">
        <v>1.798</v>
      </c>
      <c r="J36" s="6" t="n">
        <v>60</v>
      </c>
      <c r="K36" s="6" t="n">
        <v>44.8</v>
      </c>
      <c r="L36" s="7">
        <f>SQRT((B36^2+C36^2+D36^2+E36^2+F36^2+G36^2+H36^2+I36^2+J36^2+K36^2)/10)</f>
        <v/>
      </c>
      <c r="M36" s="7">
        <f>MAX(0, MIN(1, 1 - (I36/15)*0.7 - (H36/30)*0.3))*100</f>
        <v/>
      </c>
      <c r="N36" s="7">
        <f>100</f>
        <v/>
      </c>
      <c r="O36" s="7">
        <f>H36*2.0</f>
        <v/>
      </c>
      <c r="P36" s="7">
        <f>H36*1.5</f>
        <v/>
      </c>
      <c r="Q36" s="7">
        <f>H36*1.0</f>
        <v/>
      </c>
      <c r="R36" s="7">
        <f>H36*0.7</f>
        <v/>
      </c>
      <c r="T36" s="5" t="n"/>
      <c r="U36" s="5" t="n"/>
      <c r="V36" s="5" t="n"/>
      <c r="W36" s="5" t="n"/>
    </row>
    <row r="37">
      <c r="A37" s="6" t="inlineStr">
        <is>
          <t>01:48:13 PM</t>
        </is>
      </c>
      <c r="B37" s="6" t="n">
        <v>127.19</v>
      </c>
      <c r="C37" s="6" t="n">
        <v>18.438</v>
      </c>
      <c r="D37" s="7">
        <f>B37*C37*G37</f>
        <v/>
      </c>
      <c r="E37" s="7">
        <f>SQRT(MAX(0, F37^2 - D37^2))</f>
        <v/>
      </c>
      <c r="F37" s="7">
        <f>B37*C37</f>
        <v/>
      </c>
      <c r="G37" s="6" t="n">
        <v>0.883</v>
      </c>
      <c r="H37" s="6" t="n">
        <v>4.68</v>
      </c>
      <c r="I37" s="6" t="n">
        <v>1.744</v>
      </c>
      <c r="J37" s="6" t="n">
        <v>60</v>
      </c>
      <c r="K37" s="6" t="n">
        <v>44.8</v>
      </c>
      <c r="L37" s="7">
        <f>SQRT((B37^2+C37^2+D37^2+E37^2+F37^2+G37^2+H37^2+I37^2+J37^2+K37^2)/10)</f>
        <v/>
      </c>
      <c r="M37" s="7">
        <f>MAX(0, MIN(1, 1 - (I37/15)*0.7 - (H37/30)*0.3))*100</f>
        <v/>
      </c>
      <c r="N37" s="7">
        <f>100</f>
        <v/>
      </c>
      <c r="O37" s="7">
        <f>H37*2.0</f>
        <v/>
      </c>
      <c r="P37" s="7">
        <f>H37*1.5</f>
        <v/>
      </c>
      <c r="Q37" s="7">
        <f>H37*1.0</f>
        <v/>
      </c>
      <c r="R37" s="7">
        <f>H37*0.7</f>
        <v/>
      </c>
      <c r="T37" s="5" t="n"/>
      <c r="U37" s="5" t="n"/>
      <c r="V37" s="5" t="n"/>
      <c r="W37" s="5" t="n"/>
    </row>
    <row r="38">
      <c r="A38" s="6" t="inlineStr">
        <is>
          <t>01:48:15 PM</t>
        </is>
      </c>
      <c r="B38" s="6" t="n">
        <v>126.84</v>
      </c>
      <c r="C38" s="6" t="n">
        <v>18.879</v>
      </c>
      <c r="D38" s="7">
        <f>B38*C38*G38</f>
        <v/>
      </c>
      <c r="E38" s="7">
        <f>SQRT(MAX(0, F38^2 - D38^2))</f>
        <v/>
      </c>
      <c r="F38" s="7">
        <f>B38*C38</f>
        <v/>
      </c>
      <c r="G38" s="6" t="n">
        <v>0.8764999999999999</v>
      </c>
      <c r="H38" s="6" t="n">
        <v>4.61</v>
      </c>
      <c r="I38" s="6" t="n">
        <v>1.747</v>
      </c>
      <c r="J38" s="6" t="n">
        <v>60</v>
      </c>
      <c r="K38" s="6" t="n">
        <v>44.8</v>
      </c>
      <c r="L38" s="7">
        <f>SQRT((B38^2+C38^2+D38^2+E38^2+F38^2+G38^2+H38^2+I38^2+J38^2+K38^2)/10)</f>
        <v/>
      </c>
      <c r="M38" s="7">
        <f>MAX(0, MIN(1, 1 - (I38/15)*0.7 - (H38/30)*0.3))*100</f>
        <v/>
      </c>
      <c r="N38" s="7">
        <f>100</f>
        <v/>
      </c>
      <c r="O38" s="7">
        <f>H38*2.0</f>
        <v/>
      </c>
      <c r="P38" s="7">
        <f>H38*1.5</f>
        <v/>
      </c>
      <c r="Q38" s="7">
        <f>H38*1.0</f>
        <v/>
      </c>
      <c r="R38" s="7">
        <f>H38*0.7</f>
        <v/>
      </c>
      <c r="T38" s="5" t="n"/>
      <c r="U38" s="5" t="n"/>
      <c r="V38" s="5" t="n"/>
      <c r="W38" s="5" t="n"/>
    </row>
    <row r="39">
      <c r="A39" s="6" t="inlineStr">
        <is>
          <t>01:48:16 PM</t>
        </is>
      </c>
      <c r="B39" s="6" t="n">
        <v>126.32</v>
      </c>
      <c r="C39" s="6" t="n">
        <v>19.087</v>
      </c>
      <c r="D39" s="7">
        <f>B39*C39*G39</f>
        <v/>
      </c>
      <c r="E39" s="7">
        <f>SQRT(MAX(0, F39^2 - D39^2))</f>
        <v/>
      </c>
      <c r="F39" s="7">
        <f>B39*C39</f>
        <v/>
      </c>
      <c r="G39" s="6" t="n">
        <v>0.8762</v>
      </c>
      <c r="H39" s="6" t="n">
        <v>4.54</v>
      </c>
      <c r="I39" s="6" t="n">
        <v>1.739</v>
      </c>
      <c r="J39" s="6" t="n">
        <v>60</v>
      </c>
      <c r="K39" s="6" t="n">
        <v>44.8</v>
      </c>
      <c r="L39" s="7">
        <f>SQRT((B39^2+C39^2+D39^2+E39^2+F39^2+G39^2+H39^2+I39^2+J39^2+K39^2)/10)</f>
        <v/>
      </c>
      <c r="M39" s="7">
        <f>MAX(0, MIN(1, 1 - (I39/15)*0.7 - (H39/30)*0.3))*100</f>
        <v/>
      </c>
      <c r="N39" s="7">
        <f>100</f>
        <v/>
      </c>
      <c r="O39" s="7">
        <f>H39*2.0</f>
        <v/>
      </c>
      <c r="P39" s="7">
        <f>H39*1.5</f>
        <v/>
      </c>
      <c r="Q39" s="7">
        <f>H39*1.0</f>
        <v/>
      </c>
      <c r="R39" s="7">
        <f>H39*0.7</f>
        <v/>
      </c>
      <c r="T39" s="5" t="n"/>
      <c r="U39" s="5" t="n"/>
      <c r="V39" s="5" t="n"/>
      <c r="W39" s="5" t="n"/>
    </row>
    <row r="40">
      <c r="A40" s="6" t="inlineStr">
        <is>
          <t>01:48:17 PM</t>
        </is>
      </c>
      <c r="B40" s="6" t="n">
        <v>125.94</v>
      </c>
      <c r="C40" s="6" t="n">
        <v>19.308</v>
      </c>
      <c r="D40" s="7">
        <f>B40*C40*G40</f>
        <v/>
      </c>
      <c r="E40" s="7">
        <f>SQRT(MAX(0, F40^2 - D40^2))</f>
        <v/>
      </c>
      <c r="F40" s="7">
        <f>B40*C40</f>
        <v/>
      </c>
      <c r="G40" s="6" t="n">
        <v>0.8793</v>
      </c>
      <c r="H40" s="6" t="n">
        <v>4.33</v>
      </c>
      <c r="I40" s="6" t="n">
        <v>1.7</v>
      </c>
      <c r="J40" s="6" t="n">
        <v>60</v>
      </c>
      <c r="K40" s="6" t="n">
        <v>44.8</v>
      </c>
      <c r="L40" s="7">
        <f>SQRT((B40^2+C40^2+D40^2+E40^2+F40^2+G40^2+H40^2+I40^2+J40^2+K40^2)/10)</f>
        <v/>
      </c>
      <c r="M40" s="7">
        <f>MAX(0, MIN(1, 1 - (I40/15)*0.7 - (H40/30)*0.3))*100</f>
        <v/>
      </c>
      <c r="N40" s="7">
        <f>100</f>
        <v/>
      </c>
      <c r="O40" s="7">
        <f>H40*2.0</f>
        <v/>
      </c>
      <c r="P40" s="7">
        <f>H40*1.5</f>
        <v/>
      </c>
      <c r="Q40" s="7">
        <f>H40*1.0</f>
        <v/>
      </c>
      <c r="R40" s="7">
        <f>H40*0.7</f>
        <v/>
      </c>
      <c r="T40" s="5" t="n"/>
      <c r="U40" s="5" t="n"/>
      <c r="V40" s="5" t="n"/>
      <c r="W40" s="5" t="n"/>
    </row>
    <row r="41">
      <c r="A41" s="6" t="inlineStr">
        <is>
          <t>01:48:18 PM</t>
        </is>
      </c>
      <c r="B41" s="6" t="n">
        <v>126.2</v>
      </c>
      <c r="C41" s="6" t="n">
        <v>19.286</v>
      </c>
      <c r="D41" s="7">
        <f>B41*C41*G41</f>
        <v/>
      </c>
      <c r="E41" s="7">
        <f>SQRT(MAX(0, F41^2 - D41^2))</f>
        <v/>
      </c>
      <c r="F41" s="7">
        <f>B41*C41</f>
        <v/>
      </c>
      <c r="G41" s="6" t="n">
        <v>0.8781</v>
      </c>
      <c r="H41" s="6" t="n">
        <v>4.33</v>
      </c>
      <c r="I41" s="6" t="n">
        <v>1.727</v>
      </c>
      <c r="J41" s="6" t="n">
        <v>60</v>
      </c>
      <c r="K41" s="6" t="n">
        <v>44.9</v>
      </c>
      <c r="L41" s="7">
        <f>SQRT((B41^2+C41^2+D41^2+E41^2+F41^2+G41^2+H41^2+I41^2+J41^2+K41^2)/10)</f>
        <v/>
      </c>
      <c r="M41" s="7">
        <f>MAX(0, MIN(1, 1 - (I41/15)*0.7 - (H41/30)*0.3))*100</f>
        <v/>
      </c>
      <c r="N41" s="7">
        <f>100</f>
        <v/>
      </c>
      <c r="O41" s="7">
        <f>H41*2.0</f>
        <v/>
      </c>
      <c r="P41" s="7">
        <f>H41*1.5</f>
        <v/>
      </c>
      <c r="Q41" s="7">
        <f>H41*1.0</f>
        <v/>
      </c>
      <c r="R41" s="7">
        <f>H41*0.7</f>
        <v/>
      </c>
      <c r="T41" s="5" t="n"/>
      <c r="U41" s="5" t="n"/>
      <c r="V41" s="5" t="n"/>
      <c r="W41" s="5" t="n"/>
    </row>
    <row r="42">
      <c r="A42" s="6" t="inlineStr">
        <is>
          <t>01:48:18 PM</t>
        </is>
      </c>
      <c r="B42" s="6" t="n">
        <v>126.32</v>
      </c>
      <c r="C42" s="6" t="n">
        <v>18.967</v>
      </c>
      <c r="D42" s="7">
        <f>B42*C42*G42</f>
        <v/>
      </c>
      <c r="E42" s="7">
        <f>SQRT(MAX(0, F42^2 - D42^2))</f>
        <v/>
      </c>
      <c r="F42" s="7">
        <f>B42*C42</f>
        <v/>
      </c>
      <c r="G42" s="6" t="n">
        <v>0.8796</v>
      </c>
      <c r="H42" s="6" t="n">
        <v>4.49</v>
      </c>
      <c r="I42" s="6" t="n">
        <v>1.722</v>
      </c>
      <c r="J42" s="6" t="n">
        <v>60</v>
      </c>
      <c r="K42" s="6" t="n">
        <v>44.9</v>
      </c>
      <c r="L42" s="7">
        <f>SQRT((B42^2+C42^2+D42^2+E42^2+F42^2+G42^2+H42^2+I42^2+J42^2+K42^2)/10)</f>
        <v/>
      </c>
      <c r="M42" s="7">
        <f>MAX(0, MIN(1, 1 - (I42/15)*0.7 - (H42/30)*0.3))*100</f>
        <v/>
      </c>
      <c r="N42" s="7">
        <f>100</f>
        <v/>
      </c>
      <c r="O42" s="7">
        <f>H42*2.0</f>
        <v/>
      </c>
      <c r="P42" s="7">
        <f>H42*1.5</f>
        <v/>
      </c>
      <c r="Q42" s="7">
        <f>H42*1.0</f>
        <v/>
      </c>
      <c r="R42" s="7">
        <f>H42*0.7</f>
        <v/>
      </c>
      <c r="T42" s="5" t="n"/>
      <c r="U42" s="5" t="n"/>
      <c r="V42" s="5" t="n"/>
      <c r="W42" s="5" t="n"/>
    </row>
    <row r="43">
      <c r="A43" s="6" t="inlineStr">
        <is>
          <t>01:48:20 PM</t>
        </is>
      </c>
      <c r="B43" s="6" t="n">
        <v>126.93</v>
      </c>
      <c r="C43" s="6" t="n">
        <v>18.68</v>
      </c>
      <c r="D43" s="7">
        <f>B43*C43*G43</f>
        <v/>
      </c>
      <c r="E43" s="7">
        <f>SQRT(MAX(0, F43^2 - D43^2))</f>
        <v/>
      </c>
      <c r="F43" s="7">
        <f>B43*C43</f>
        <v/>
      </c>
      <c r="G43" s="6" t="n">
        <v>0.8817</v>
      </c>
      <c r="H43" s="6" t="n">
        <v>4.34</v>
      </c>
      <c r="I43" s="6" t="n">
        <v>1.762</v>
      </c>
      <c r="J43" s="6" t="n">
        <v>60</v>
      </c>
      <c r="K43" s="6" t="n">
        <v>45</v>
      </c>
      <c r="L43" s="7">
        <f>SQRT((B43^2+C43^2+D43^2+E43^2+F43^2+G43^2+H43^2+I43^2+J43^2+K43^2)/10)</f>
        <v/>
      </c>
      <c r="M43" s="7">
        <f>MAX(0, MIN(1, 1 - (I43/15)*0.7 - (H43/30)*0.3))*100</f>
        <v/>
      </c>
      <c r="N43" s="7">
        <f>100</f>
        <v/>
      </c>
      <c r="O43" s="7">
        <f>H43*2.0</f>
        <v/>
      </c>
      <c r="P43" s="7">
        <f>H43*1.5</f>
        <v/>
      </c>
      <c r="Q43" s="7">
        <f>H43*1.0</f>
        <v/>
      </c>
      <c r="R43" s="7">
        <f>H43*0.7</f>
        <v/>
      </c>
      <c r="T43" s="5" t="n"/>
      <c r="U43" s="5" t="n"/>
      <c r="V43" s="5" t="n"/>
      <c r="W43" s="5" t="n"/>
    </row>
    <row r="44">
      <c r="A44" s="6" t="inlineStr">
        <is>
          <t>01:48:21 PM</t>
        </is>
      </c>
      <c r="B44" s="6" t="n">
        <v>127.52</v>
      </c>
      <c r="C44" s="6" t="n">
        <v>18.293</v>
      </c>
      <c r="D44" s="7">
        <f>B44*C44*G44</f>
        <v/>
      </c>
      <c r="E44" s="7">
        <f>SQRT(MAX(0, F44^2 - D44^2))</f>
        <v/>
      </c>
      <c r="F44" s="7">
        <f>B44*C44</f>
        <v/>
      </c>
      <c r="G44" s="6" t="n">
        <v>0.8831</v>
      </c>
      <c r="H44" s="6" t="n">
        <v>4.58</v>
      </c>
      <c r="I44" s="6" t="n">
        <v>1.796</v>
      </c>
      <c r="J44" s="6" t="n">
        <v>60</v>
      </c>
      <c r="K44" s="6" t="n">
        <v>45</v>
      </c>
      <c r="L44" s="7">
        <f>SQRT((B44^2+C44^2+D44^2+E44^2+F44^2+G44^2+H44^2+I44^2+J44^2+K44^2)/10)</f>
        <v/>
      </c>
      <c r="M44" s="7">
        <f>MAX(0, MIN(1, 1 - (I44/15)*0.7 - (H44/30)*0.3))*100</f>
        <v/>
      </c>
      <c r="N44" s="7">
        <f>100</f>
        <v/>
      </c>
      <c r="O44" s="7">
        <f>H44*2.0</f>
        <v/>
      </c>
      <c r="P44" s="7">
        <f>H44*1.5</f>
        <v/>
      </c>
      <c r="Q44" s="7">
        <f>H44*1.0</f>
        <v/>
      </c>
      <c r="R44" s="7">
        <f>H44*0.7</f>
        <v/>
      </c>
      <c r="T44" s="5" t="n"/>
      <c r="U44" s="5" t="n"/>
      <c r="V44" s="5" t="n"/>
      <c r="W44" s="5" t="n"/>
    </row>
    <row r="45">
      <c r="A45" s="6" t="inlineStr">
        <is>
          <t>01:48:22 PM</t>
        </is>
      </c>
      <c r="B45" s="6" t="n">
        <v>128.1</v>
      </c>
      <c r="C45" s="6" t="n">
        <v>18.012</v>
      </c>
      <c r="D45" s="7">
        <f>B45*C45*G45</f>
        <v/>
      </c>
      <c r="E45" s="7">
        <f>SQRT(MAX(0, F45^2 - D45^2))</f>
        <v/>
      </c>
      <c r="F45" s="7">
        <f>B45*C45</f>
        <v/>
      </c>
      <c r="G45" s="6" t="n">
        <v>0.8804999999999999</v>
      </c>
      <c r="H45" s="6" t="n">
        <v>4.6</v>
      </c>
      <c r="I45" s="6" t="n">
        <v>1.852</v>
      </c>
      <c r="J45" s="6" t="n">
        <v>60</v>
      </c>
      <c r="K45" s="6" t="n">
        <v>45.1</v>
      </c>
      <c r="L45" s="7">
        <f>SQRT((B45^2+C45^2+D45^2+E45^2+F45^2+G45^2+H45^2+I45^2+J45^2+K45^2)/10)</f>
        <v/>
      </c>
      <c r="M45" s="7">
        <f>MAX(0, MIN(1, 1 - (I45/15)*0.7 - (H45/30)*0.3))*100</f>
        <v/>
      </c>
      <c r="N45" s="7">
        <f>100</f>
        <v/>
      </c>
      <c r="O45" s="7">
        <f>H45*2.0</f>
        <v/>
      </c>
      <c r="P45" s="7">
        <f>H45*1.5</f>
        <v/>
      </c>
      <c r="Q45" s="7">
        <f>H45*1.0</f>
        <v/>
      </c>
      <c r="R45" s="7">
        <f>H45*0.7</f>
        <v/>
      </c>
      <c r="T45" s="5" t="n"/>
      <c r="U45" s="5" t="n"/>
      <c r="V45" s="5" t="n"/>
      <c r="W45" s="5" t="n"/>
    </row>
    <row r="46">
      <c r="A46" s="6" t="inlineStr">
        <is>
          <t>01:48:22 PM</t>
        </is>
      </c>
      <c r="B46" s="6" t="n">
        <v>128.36</v>
      </c>
      <c r="C46" s="6" t="n">
        <v>17.659</v>
      </c>
      <c r="D46" s="7">
        <f>B46*C46*G46</f>
        <v/>
      </c>
      <c r="E46" s="7">
        <f>SQRT(MAX(0, F46^2 - D46^2))</f>
        <v/>
      </c>
      <c r="F46" s="7">
        <f>B46*C46</f>
        <v/>
      </c>
      <c r="G46" s="6" t="n">
        <v>0.8813</v>
      </c>
      <c r="H46" s="6" t="n">
        <v>4.62</v>
      </c>
      <c r="I46" s="6" t="n">
        <v>1.864</v>
      </c>
      <c r="J46" s="6" t="n">
        <v>60</v>
      </c>
      <c r="K46" s="6" t="n">
        <v>45.1</v>
      </c>
      <c r="L46" s="7">
        <f>SQRT((B46^2+C46^2+D46^2+E46^2+F46^2+G46^2+H46^2+I46^2+J46^2+K46^2)/10)</f>
        <v/>
      </c>
      <c r="M46" s="7">
        <f>MAX(0, MIN(1, 1 - (I46/15)*0.7 - (H46/30)*0.3))*100</f>
        <v/>
      </c>
      <c r="N46" s="7">
        <f>100</f>
        <v/>
      </c>
      <c r="O46" s="7">
        <f>H46*2.0</f>
        <v/>
      </c>
      <c r="P46" s="7">
        <f>H46*1.5</f>
        <v/>
      </c>
      <c r="Q46" s="7">
        <f>H46*1.0</f>
        <v/>
      </c>
      <c r="R46" s="7">
        <f>H46*0.7</f>
        <v/>
      </c>
      <c r="T46" s="5" t="n"/>
      <c r="U46" s="5" t="n"/>
      <c r="V46" s="5" t="n"/>
      <c r="W46" s="5" t="n"/>
    </row>
    <row r="47">
      <c r="A47" s="6" t="inlineStr">
        <is>
          <t>01:48:23 PM</t>
        </is>
      </c>
      <c r="B47" s="6" t="n">
        <v>128.37</v>
      </c>
      <c r="C47" s="6" t="n">
        <v>17.729</v>
      </c>
      <c r="D47" s="7">
        <f>B47*C47*G47</f>
        <v/>
      </c>
      <c r="E47" s="7">
        <f>SQRT(MAX(0, F47^2 - D47^2))</f>
        <v/>
      </c>
      <c r="F47" s="7">
        <f>B47*C47</f>
        <v/>
      </c>
      <c r="G47" s="6" t="n">
        <v>0.8757</v>
      </c>
      <c r="H47" s="6" t="n">
        <v>4.66</v>
      </c>
      <c r="I47" s="6" t="n">
        <v>1.885</v>
      </c>
      <c r="J47" s="6" t="n">
        <v>60</v>
      </c>
      <c r="K47" s="6" t="n">
        <v>45.2</v>
      </c>
      <c r="L47" s="7">
        <f>SQRT((B47^2+C47^2+D47^2+E47^2+F47^2+G47^2+H47^2+I47^2+J47^2+K47^2)/10)</f>
        <v/>
      </c>
      <c r="M47" s="7">
        <f>MAX(0, MIN(1, 1 - (I47/15)*0.7 - (H47/30)*0.3))*100</f>
        <v/>
      </c>
      <c r="N47" s="7">
        <f>100</f>
        <v/>
      </c>
      <c r="O47" s="7">
        <f>H47*2.0</f>
        <v/>
      </c>
      <c r="P47" s="7">
        <f>H47*1.5</f>
        <v/>
      </c>
      <c r="Q47" s="7">
        <f>H47*1.0</f>
        <v/>
      </c>
      <c r="R47" s="7">
        <f>H47*0.7</f>
        <v/>
      </c>
      <c r="T47" s="5" t="n"/>
      <c r="U47" s="5" t="n"/>
      <c r="V47" s="5" t="n"/>
      <c r="W47" s="5" t="n"/>
    </row>
    <row r="48">
      <c r="A48" s="6" t="inlineStr">
        <is>
          <t>01:48:24 PM</t>
        </is>
      </c>
      <c r="B48" s="6" t="n">
        <v>128.19</v>
      </c>
      <c r="C48" s="6" t="n">
        <v>17.9</v>
      </c>
      <c r="D48" s="7">
        <f>B48*C48*G48</f>
        <v/>
      </c>
      <c r="E48" s="7">
        <f>SQRT(MAX(0, F48^2 - D48^2))</f>
        <v/>
      </c>
      <c r="F48" s="7">
        <f>B48*C48</f>
        <v/>
      </c>
      <c r="G48" s="6" t="n">
        <v>0.8835</v>
      </c>
      <c r="H48" s="6" t="n">
        <v>4.48</v>
      </c>
      <c r="I48" s="6" t="n">
        <v>1.894</v>
      </c>
      <c r="J48" s="6" t="n">
        <v>60</v>
      </c>
      <c r="K48" s="6" t="n">
        <v>45.2</v>
      </c>
      <c r="L48" s="7">
        <f>SQRT((B48^2+C48^2+D48^2+E48^2+F48^2+G48^2+H48^2+I48^2+J48^2+K48^2)/10)</f>
        <v/>
      </c>
      <c r="M48" s="7">
        <f>MAX(0, MIN(1, 1 - (I48/15)*0.7 - (H48/30)*0.3))*100</f>
        <v/>
      </c>
      <c r="N48" s="7">
        <f>100</f>
        <v/>
      </c>
      <c r="O48" s="7">
        <f>H48*2.0</f>
        <v/>
      </c>
      <c r="P48" s="7">
        <f>H48*1.5</f>
        <v/>
      </c>
      <c r="Q48" s="7">
        <f>H48*1.0</f>
        <v/>
      </c>
      <c r="R48" s="7">
        <f>H48*0.7</f>
        <v/>
      </c>
      <c r="T48" s="5" t="n"/>
      <c r="U48" s="5" t="n"/>
      <c r="V48" s="5" t="n"/>
      <c r="W48" s="5" t="n"/>
    </row>
    <row r="49">
      <c r="A49" s="6" t="inlineStr">
        <is>
          <t>01:48:26 PM</t>
        </is>
      </c>
      <c r="B49" s="6" t="n">
        <v>127.46</v>
      </c>
      <c r="C49" s="6" t="n">
        <v>18.255</v>
      </c>
      <c r="D49" s="7">
        <f>B49*C49*G49</f>
        <v/>
      </c>
      <c r="E49" s="7">
        <f>SQRT(MAX(0, F49^2 - D49^2))</f>
        <v/>
      </c>
      <c r="F49" s="7">
        <f>B49*C49</f>
        <v/>
      </c>
      <c r="G49" s="6" t="n">
        <v>0.8835</v>
      </c>
      <c r="H49" s="6" t="n">
        <v>4.41</v>
      </c>
      <c r="I49" s="6" t="n">
        <v>1.87</v>
      </c>
      <c r="J49" s="6" t="n">
        <v>60</v>
      </c>
      <c r="K49" s="6" t="n">
        <v>45.2</v>
      </c>
      <c r="L49" s="7">
        <f>SQRT((B49^2+C49^2+D49^2+E49^2+F49^2+G49^2+H49^2+I49^2+J49^2+K49^2)/10)</f>
        <v/>
      </c>
      <c r="M49" s="7">
        <f>MAX(0, MIN(1, 1 - (I49/15)*0.7 - (H49/30)*0.3))*100</f>
        <v/>
      </c>
      <c r="N49" s="7">
        <f>100</f>
        <v/>
      </c>
      <c r="O49" s="7">
        <f>H49*2.0</f>
        <v/>
      </c>
      <c r="P49" s="7">
        <f>H49*1.5</f>
        <v/>
      </c>
      <c r="Q49" s="7">
        <f>H49*1.0</f>
        <v/>
      </c>
      <c r="R49" s="7">
        <f>H49*0.7</f>
        <v/>
      </c>
      <c r="T49" s="5" t="n"/>
      <c r="U49" s="5" t="n"/>
      <c r="V49" s="5" t="n"/>
      <c r="W49" s="5" t="n"/>
    </row>
    <row r="50">
      <c r="A50" s="6" t="inlineStr">
        <is>
          <t>01:48:27 PM</t>
        </is>
      </c>
      <c r="B50" s="6" t="n">
        <v>127.08</v>
      </c>
      <c r="C50" s="6" t="n">
        <v>18.602</v>
      </c>
      <c r="D50" s="7">
        <f>B50*C50*G50</f>
        <v/>
      </c>
      <c r="E50" s="7">
        <f>SQRT(MAX(0, F50^2 - D50^2))</f>
        <v/>
      </c>
      <c r="F50" s="7">
        <f>B50*C50</f>
        <v/>
      </c>
      <c r="G50" s="6" t="n">
        <v>0.8794</v>
      </c>
      <c r="H50" s="6" t="n">
        <v>4.39</v>
      </c>
      <c r="I50" s="6" t="n">
        <v>1.836</v>
      </c>
      <c r="J50" s="6" t="n">
        <v>60</v>
      </c>
      <c r="K50" s="6" t="n">
        <v>45.2</v>
      </c>
      <c r="L50" s="7">
        <f>SQRT((B50^2+C50^2+D50^2+E50^2+F50^2+G50^2+H50^2+I50^2+J50^2+K50^2)/10)</f>
        <v/>
      </c>
      <c r="M50" s="7">
        <f>MAX(0, MIN(1, 1 - (I50/15)*0.7 - (H50/30)*0.3))*100</f>
        <v/>
      </c>
      <c r="N50" s="7">
        <f>100</f>
        <v/>
      </c>
      <c r="O50" s="7">
        <f>H50*2.0</f>
        <v/>
      </c>
      <c r="P50" s="7">
        <f>H50*1.5</f>
        <v/>
      </c>
      <c r="Q50" s="7">
        <f>H50*1.0</f>
        <v/>
      </c>
      <c r="R50" s="7">
        <f>H50*0.7</f>
        <v/>
      </c>
      <c r="T50" s="5" t="n"/>
      <c r="U50" s="5" t="n"/>
      <c r="V50" s="5" t="n"/>
      <c r="W50" s="5" t="n"/>
    </row>
    <row r="51">
      <c r="A51" s="6" t="inlineStr">
        <is>
          <t>01:48:28 PM</t>
        </is>
      </c>
      <c r="B51" s="6" t="n">
        <v>126.49</v>
      </c>
      <c r="C51" s="6" t="n">
        <v>18.992</v>
      </c>
      <c r="D51" s="7">
        <f>B51*C51*G51</f>
        <v/>
      </c>
      <c r="E51" s="7">
        <f>SQRT(MAX(0, F51^2 - D51^2))</f>
        <v/>
      </c>
      <c r="F51" s="7">
        <f>B51*C51</f>
        <v/>
      </c>
      <c r="G51" s="6" t="n">
        <v>0.8767</v>
      </c>
      <c r="H51" s="6" t="n">
        <v>4.21</v>
      </c>
      <c r="I51" s="6" t="n">
        <v>1.833</v>
      </c>
      <c r="J51" s="6" t="n">
        <v>60</v>
      </c>
      <c r="K51" s="6" t="n">
        <v>45.2</v>
      </c>
      <c r="L51" s="7">
        <f>SQRT((B51^2+C51^2+D51^2+E51^2+F51^2+G51^2+H51^2+I51^2+J51^2+K51^2)/10)</f>
        <v/>
      </c>
      <c r="M51" s="7">
        <f>MAX(0, MIN(1, 1 - (I51/15)*0.7 - (H51/30)*0.3))*100</f>
        <v/>
      </c>
      <c r="N51" s="7">
        <f>100</f>
        <v/>
      </c>
      <c r="O51" s="7">
        <f>H51*2.0</f>
        <v/>
      </c>
      <c r="P51" s="7">
        <f>H51*1.5</f>
        <v/>
      </c>
      <c r="Q51" s="7">
        <f>H51*1.0</f>
        <v/>
      </c>
      <c r="R51" s="7">
        <f>H51*0.7</f>
        <v/>
      </c>
      <c r="T51" s="5" t="n"/>
      <c r="U51" s="5" t="n"/>
      <c r="V51" s="5" t="n"/>
      <c r="W51" s="5" t="n"/>
    </row>
    <row r="52">
      <c r="A52" s="6" t="inlineStr">
        <is>
          <t>01:48:28 PM</t>
        </is>
      </c>
      <c r="B52" s="6" t="n">
        <v>126.16</v>
      </c>
      <c r="C52" s="6" t="n">
        <v>19.211</v>
      </c>
      <c r="D52" s="7">
        <f>B52*C52*G52</f>
        <v/>
      </c>
      <c r="E52" s="7">
        <f>SQRT(MAX(0, F52^2 - D52^2))</f>
        <v/>
      </c>
      <c r="F52" s="7">
        <f>B52*C52</f>
        <v/>
      </c>
      <c r="G52" s="6" t="n">
        <v>0.8836000000000001</v>
      </c>
      <c r="H52" s="6" t="n">
        <v>4.29</v>
      </c>
      <c r="I52" s="6" t="n">
        <v>1.74</v>
      </c>
      <c r="J52" s="6" t="n">
        <v>60</v>
      </c>
      <c r="K52" s="6" t="n">
        <v>45.1</v>
      </c>
      <c r="L52" s="7">
        <f>SQRT((B52^2+C52^2+D52^2+E52^2+F52^2+G52^2+H52^2+I52^2+J52^2+K52^2)/10)</f>
        <v/>
      </c>
      <c r="M52" s="7">
        <f>MAX(0, MIN(1, 1 - (I52/15)*0.7 - (H52/30)*0.3))*100</f>
        <v/>
      </c>
      <c r="N52" s="7">
        <f>100</f>
        <v/>
      </c>
      <c r="O52" s="7">
        <f>H52*2.0</f>
        <v/>
      </c>
      <c r="P52" s="7">
        <f>H52*1.5</f>
        <v/>
      </c>
      <c r="Q52" s="7">
        <f>H52*1.0</f>
        <v/>
      </c>
      <c r="R52" s="7">
        <f>H52*0.7</f>
        <v/>
      </c>
      <c r="T52" s="5" t="n"/>
      <c r="U52" s="5" t="n"/>
      <c r="V52" s="5" t="n"/>
      <c r="W52" s="5" t="n"/>
    </row>
    <row r="53">
      <c r="A53" s="6" t="inlineStr">
        <is>
          <t>01:48:30 PM</t>
        </is>
      </c>
      <c r="B53" s="6" t="n">
        <v>125.94</v>
      </c>
      <c r="C53" s="6" t="n">
        <v>19.326</v>
      </c>
      <c r="D53" s="7">
        <f>B53*C53*G53</f>
        <v/>
      </c>
      <c r="E53" s="7">
        <f>SQRT(MAX(0, F53^2 - D53^2))</f>
        <v/>
      </c>
      <c r="F53" s="7">
        <f>B53*C53</f>
        <v/>
      </c>
      <c r="G53" s="6" t="n">
        <v>0.8816000000000001</v>
      </c>
      <c r="H53" s="6" t="n">
        <v>4.45</v>
      </c>
      <c r="I53" s="6" t="n">
        <v>1.767</v>
      </c>
      <c r="J53" s="6" t="n">
        <v>60</v>
      </c>
      <c r="K53" s="6" t="n">
        <v>45</v>
      </c>
      <c r="L53" s="7">
        <f>SQRT((B53^2+C53^2+D53^2+E53^2+F53^2+G53^2+H53^2+I53^2+J53^2+K53^2)/10)</f>
        <v/>
      </c>
      <c r="M53" s="7">
        <f>MAX(0, MIN(1, 1 - (I53/15)*0.7 - (H53/30)*0.3))*100</f>
        <v/>
      </c>
      <c r="N53" s="7">
        <f>100</f>
        <v/>
      </c>
      <c r="O53" s="7">
        <f>H53*2.0</f>
        <v/>
      </c>
      <c r="P53" s="7">
        <f>H53*1.5</f>
        <v/>
      </c>
      <c r="Q53" s="7">
        <f>H53*1.0</f>
        <v/>
      </c>
      <c r="R53" s="7">
        <f>H53*0.7</f>
        <v/>
      </c>
      <c r="T53" s="5" t="n"/>
      <c r="U53" s="5" t="n"/>
      <c r="V53" s="5" t="n"/>
      <c r="W53" s="5" t="n"/>
    </row>
    <row r="54">
      <c r="A54" s="6" t="inlineStr">
        <is>
          <t>01:48:30 PM</t>
        </is>
      </c>
      <c r="B54" s="6" t="n">
        <v>126.24</v>
      </c>
      <c r="C54" s="6" t="n">
        <v>19.18</v>
      </c>
      <c r="D54" s="7">
        <f>B54*C54*G54</f>
        <v/>
      </c>
      <c r="E54" s="7">
        <f>SQRT(MAX(0, F54^2 - D54^2))</f>
        <v/>
      </c>
      <c r="F54" s="7">
        <f>B54*C54</f>
        <v/>
      </c>
      <c r="G54" s="6" t="n">
        <v>0.8757</v>
      </c>
      <c r="H54" s="6" t="n">
        <v>4.53</v>
      </c>
      <c r="I54" s="6" t="n">
        <v>1.759</v>
      </c>
      <c r="J54" s="6" t="n">
        <v>60</v>
      </c>
      <c r="K54" s="6" t="n">
        <v>45</v>
      </c>
      <c r="L54" s="7">
        <f>SQRT((B54^2+C54^2+D54^2+E54^2+F54^2+G54^2+H54^2+I54^2+J54^2+K54^2)/10)</f>
        <v/>
      </c>
      <c r="M54" s="7">
        <f>MAX(0, MIN(1, 1 - (I54/15)*0.7 - (H54/30)*0.3))*100</f>
        <v/>
      </c>
      <c r="N54" s="7">
        <f>100</f>
        <v/>
      </c>
      <c r="O54" s="7">
        <f>H54*2.0</f>
        <v/>
      </c>
      <c r="P54" s="7">
        <f>H54*1.5</f>
        <v/>
      </c>
      <c r="Q54" s="7">
        <f>H54*1.0</f>
        <v/>
      </c>
      <c r="R54" s="7">
        <f>H54*0.7</f>
        <v/>
      </c>
      <c r="T54" s="5" t="n"/>
      <c r="U54" s="5" t="n"/>
      <c r="V54" s="5" t="n"/>
      <c r="W54" s="5" t="n"/>
    </row>
    <row r="55">
      <c r="T55" s="5" t="n"/>
      <c r="U55" s="5" t="n"/>
      <c r="V55" s="5" t="n"/>
      <c r="W55" s="5" t="n"/>
    </row>
    <row r="56">
      <c r="A56" s="3" t="inlineStr">
        <is>
          <t>PROMEDIO</t>
        </is>
      </c>
      <c r="B56" s="9">
        <f>AVERAGE(B5:B54)</f>
        <v/>
      </c>
      <c r="C56" s="9">
        <f>AVERAGE(C5:C54)</f>
        <v/>
      </c>
      <c r="D56" s="9">
        <f>AVERAGE(D5:D54)</f>
        <v/>
      </c>
      <c r="E56" s="9">
        <f>AVERAGE(E5:E54)</f>
        <v/>
      </c>
      <c r="F56" s="9">
        <f>AVERAGE(F5:F54)</f>
        <v/>
      </c>
      <c r="G56" s="9">
        <f>AVERAGE(G5:G54)</f>
        <v/>
      </c>
      <c r="H56" s="9">
        <f>AVERAGE(H5:H54)</f>
        <v/>
      </c>
      <c r="I56" s="9">
        <f>AVERAGE(I5:I54)</f>
        <v/>
      </c>
      <c r="J56" s="9">
        <f>AVERAGE(J5:J54)</f>
        <v/>
      </c>
      <c r="K56" s="9">
        <f>AVERAGE(K5:K54)</f>
        <v/>
      </c>
      <c r="L56" s="9">
        <f>AVERAGE(L5:L54)</f>
        <v/>
      </c>
      <c r="M56" s="9">
        <f>AVERAGE(M5:M54)</f>
        <v/>
      </c>
      <c r="N56" s="9">
        <f>AVERAGE(N5:N54)</f>
        <v/>
      </c>
      <c r="O56" s="9">
        <f>AVERAGE(O5:O54)</f>
        <v/>
      </c>
      <c r="P56" s="9">
        <f>AVERAGE(P5:P54)</f>
        <v/>
      </c>
      <c r="Q56" s="9">
        <f>AVERAGE(Q5:Q54)</f>
        <v/>
      </c>
      <c r="R56" s="9">
        <f>AVERAGE(R5:R54)</f>
        <v/>
      </c>
      <c r="T56" s="5" t="n"/>
      <c r="U56" s="5" t="n"/>
      <c r="V56" s="5" t="n"/>
      <c r="W56" s="5" t="n"/>
    </row>
  </sheetData>
  <mergeCells count="4">
    <mergeCell ref="A1:Z1"/>
    <mergeCell ref="T4:W4"/>
    <mergeCell ref="A2:Z2"/>
    <mergeCell ref="T5:W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2026-05-02T20:48:31Z</dcterms:created>
  <dcterms:modified xsi:type="dcterms:W3CDTF">2026-05-02T20:48:31Z</dcterms:modified>
</cp:coreProperties>
</file>