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 Téc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00000"/>
      <sz val="14"/>
    </font>
    <font>
      <name val="Consolas"/>
      <color rgb="00000000"/>
      <sz val="9"/>
    </font>
    <font>
      <name val="Consolas"/>
      <b val="1"/>
      <color rgb="00000000"/>
      <sz val="7.5"/>
    </font>
    <font>
      <name val="Consolas"/>
      <color rgb="00000000"/>
      <sz val="7.5"/>
    </font>
    <font>
      <name val="Consolas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2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"/>
  <sheetViews>
    <sheetView showGridLines="1" workbookViewId="0">
      <selection activeCell="A1" sqref="A1"/>
    </sheetView>
  </sheetViews>
  <sheetFormatPr baseColWidth="8" defaultRowHeight="15"/>
  <cols>
    <col width="3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1" t="inlineStr">
        <is>
          <t>MEC INDUSTRIAL ANALYTICS PRO — REPORTE TÉCNICO</t>
        </is>
      </c>
    </row>
    <row r="2">
      <c r="A2" s="2" t="inlineStr">
        <is>
          <t>EQUIPO: MEC-01 | GENERADO: 29/04/2026 01:29:31 PM | REGISTROS: 15 | MODO: MODO SIMULACIÓN</t>
        </is>
      </c>
    </row>
    <row r="4">
      <c r="A4" s="3" t="inlineStr">
        <is>
          <t>Timestamp</t>
        </is>
      </c>
      <c r="B4" s="3" t="inlineStr">
        <is>
          <t>Tensión(V)</t>
        </is>
      </c>
      <c r="C4" s="3" t="inlineStr">
        <is>
          <t>Corr(A)</t>
        </is>
      </c>
      <c r="D4" s="3" t="inlineStr">
        <is>
          <t>P.Act(W)</t>
        </is>
      </c>
      <c r="E4" s="3" t="inlineStr">
        <is>
          <t>P.Rea(VAr)</t>
        </is>
      </c>
      <c r="F4" s="3" t="inlineStr">
        <is>
          <t>P.Apa(VA)</t>
        </is>
      </c>
      <c r="G4" s="3" t="inlineStr">
        <is>
          <t>F.P.</t>
        </is>
      </c>
      <c r="H4" s="3" t="inlineStr">
        <is>
          <t>THD(%)</t>
        </is>
      </c>
      <c r="I4" s="3" t="inlineStr">
        <is>
          <t>Vib(mm/s)</t>
        </is>
      </c>
      <c r="J4" s="3" t="inlineStr">
        <is>
          <t>Freq(Hz)</t>
        </is>
      </c>
      <c r="K4" s="3" t="inlineStr">
        <is>
          <t>Temp(°C)</t>
        </is>
      </c>
      <c r="L4" s="3" t="inlineStr">
        <is>
          <t>f_RMS</t>
        </is>
      </c>
      <c r="M4" s="3" t="inlineStr">
        <is>
          <t>Salud(%)</t>
        </is>
      </c>
      <c r="N4" s="3" t="inlineStr">
        <is>
          <t>H1(%)</t>
        </is>
      </c>
      <c r="O4" s="3" t="inlineStr">
        <is>
          <t>H3(%)</t>
        </is>
      </c>
      <c r="P4" s="3" t="inlineStr">
        <is>
          <t>H5(%)</t>
        </is>
      </c>
      <c r="Q4" s="3" t="inlineStr">
        <is>
          <t>H7(%)</t>
        </is>
      </c>
      <c r="R4" s="3" t="inlineStr">
        <is>
          <t>H9(%)</t>
        </is>
      </c>
      <c r="T4" s="4" t="inlineStr">
        <is>
          <t>ANÁLISIS DEL SISTEMA EXPERTO (IA)</t>
        </is>
      </c>
      <c r="U4" s="5" t="n"/>
      <c r="V4" s="5" t="n"/>
      <c r="W4" s="5" t="n"/>
    </row>
    <row r="5">
      <c r="A5" s="6" t="inlineStr">
        <is>
          <t>01:29:16 PM</t>
        </is>
      </c>
      <c r="B5" s="6" t="n">
        <v>127.13</v>
      </c>
      <c r="C5" s="6" t="n">
        <v>18.483</v>
      </c>
      <c r="D5" s="7">
        <f>B5*C5*G5</f>
        <v/>
      </c>
      <c r="E5" s="7">
        <f>SQRT(MAX(0, F5^2 - D5^2))</f>
        <v/>
      </c>
      <c r="F5" s="7">
        <f>B5*C5</f>
        <v/>
      </c>
      <c r="G5" s="6" t="n">
        <v>0.8822</v>
      </c>
      <c r="H5" s="6" t="n">
        <v>4.48</v>
      </c>
      <c r="I5" s="6" t="n">
        <v>1.838</v>
      </c>
      <c r="J5" s="6" t="n">
        <v>60</v>
      </c>
      <c r="K5" s="6" t="n">
        <v>45</v>
      </c>
      <c r="L5" s="7">
        <f>SQRT((B5^2+C5^2+D5^2+E5^2+F5^2+G5^2+H5^2+I5^2+J5^2+K5^2)/10)</f>
        <v/>
      </c>
      <c r="M5" s="7">
        <f>MAX(0, MIN(1, 1 - (I5/15)*0.7 - (H5/30)*0.3))*100</f>
        <v/>
      </c>
      <c r="N5" s="7">
        <f>100</f>
        <v/>
      </c>
      <c r="O5" s="7">
        <f>H5*2.0</f>
        <v/>
      </c>
      <c r="P5" s="7">
        <f>H5*1.5</f>
        <v/>
      </c>
      <c r="Q5" s="7">
        <f>H5*1.0</f>
        <v/>
      </c>
      <c r="R5" s="7">
        <f>H5*0.7</f>
        <v/>
      </c>
      <c r="T5" s="8" t="inlineStr">
        <is>
          <t xml:space="preserve">Hora: 13:29:30  | EVALUACIÓN DEL SISTEMA EXPERTO
============================================================
🤖 ESTADO DE LA IA: APRENDIENDO
📢 DICTAMEN: ⚙️ IA: Analizando comportamiento base (10.0%)...
📊 ANALÍTICA DE PRECISIÓN (DESGLOSE COMPLETO)
------------------------------------------------------------
Tensión RMS: 126.4   V  | Frecuencia : 60.0    Hz
Corriente  : 18.97   A  | Vibración  : 1.70    mm/s
Pot Activa : 2106    W  | THD        : 4.6     %
Pot Reactiv: 1147    VAr| Factor Pot.: 0.88   
Pot Aparent: 2398    VA | Temperatura: 45.2    °C
[ÍNDICE DE SALUD GENERAL DEL ACTIVO: 87.5%]
------------------------------------------------------------
📝 EVALUACIÓN TÉCNICA (DEEP ANALYSIS):
[INF] Operación nominal estable: Parámetros clave dentro de tolerancias.
🔎 FACTORES COMPLEJOS E INTERACCIONES DETECTADAS:
&gt; Torque calculado: 5.59 Nm
&gt; MTBF Estimado: 5445 horas
&gt; Veredicto: OPERACIÓN NORMAL
------------------------------------------------------------
• Componente Real (Cos): 44.8134  | Imag (Sin): -48.0055
• Fundamental Fourier: 46.44 V_rms
• Ruido Eliminado: 80.0099 V | Pureza: 36.7%
============================================================
</t>
        </is>
      </c>
      <c r="U5" s="5" t="n"/>
      <c r="V5" s="5" t="n"/>
      <c r="W5" s="5" t="n"/>
    </row>
    <row r="6">
      <c r="A6" s="6" t="inlineStr">
        <is>
          <t>01:29:17 PM</t>
        </is>
      </c>
      <c r="B6" s="6" t="n">
        <v>126.83</v>
      </c>
      <c r="C6" s="6" t="n">
        <v>18.9</v>
      </c>
      <c r="D6" s="7">
        <f>B6*C6*G6</f>
        <v/>
      </c>
      <c r="E6" s="7">
        <f>SQRT(MAX(0, F6^2 - D6^2))</f>
        <v/>
      </c>
      <c r="F6" s="7">
        <f>B6*C6</f>
        <v/>
      </c>
      <c r="G6" s="6" t="n">
        <v>0.8783</v>
      </c>
      <c r="H6" s="6" t="n">
        <v>4.66</v>
      </c>
      <c r="I6" s="6" t="n">
        <v>1.831</v>
      </c>
      <c r="J6" s="6" t="n">
        <v>60</v>
      </c>
      <c r="K6" s="6" t="n">
        <v>44.9</v>
      </c>
      <c r="L6" s="7">
        <f>SQRT((B6^2+C6^2+D6^2+E6^2+F6^2+G6^2+H6^2+I6^2+J6^2+K6^2)/10)</f>
        <v/>
      </c>
      <c r="M6" s="7">
        <f>MAX(0, MIN(1, 1 - (I6/15)*0.7 - (H6/30)*0.3))*100</f>
        <v/>
      </c>
      <c r="N6" s="7">
        <f>100</f>
        <v/>
      </c>
      <c r="O6" s="7">
        <f>H6*2.0</f>
        <v/>
      </c>
      <c r="P6" s="7">
        <f>H6*1.5</f>
        <v/>
      </c>
      <c r="Q6" s="7">
        <f>H6*1.0</f>
        <v/>
      </c>
      <c r="R6" s="7">
        <f>H6*0.7</f>
        <v/>
      </c>
      <c r="T6" s="5" t="n"/>
      <c r="U6" s="5" t="n"/>
      <c r="V6" s="5" t="n"/>
      <c r="W6" s="5" t="n"/>
    </row>
    <row r="7">
      <c r="A7" s="6" t="inlineStr">
        <is>
          <t>01:29:18 PM</t>
        </is>
      </c>
      <c r="B7" s="6" t="n">
        <v>126.21</v>
      </c>
      <c r="C7" s="6" t="n">
        <v>19.123</v>
      </c>
      <c r="D7" s="7">
        <f>B7*C7*G7</f>
        <v/>
      </c>
      <c r="E7" s="7">
        <f>SQRT(MAX(0, F7^2 - D7^2))</f>
        <v/>
      </c>
      <c r="F7" s="7">
        <f>B7*C7</f>
        <v/>
      </c>
      <c r="G7" s="6" t="n">
        <v>0.8774</v>
      </c>
      <c r="H7" s="6" t="n">
        <v>4.63</v>
      </c>
      <c r="I7" s="6" t="n">
        <v>1.819</v>
      </c>
      <c r="J7" s="6" t="n">
        <v>60</v>
      </c>
      <c r="K7" s="6" t="n">
        <v>44.9</v>
      </c>
      <c r="L7" s="7">
        <f>SQRT((B7^2+C7^2+D7^2+E7^2+F7^2+G7^2+H7^2+I7^2+J7^2+K7^2)/10)</f>
        <v/>
      </c>
      <c r="M7" s="7">
        <f>MAX(0, MIN(1, 1 - (I7/15)*0.7 - (H7/30)*0.3))*100</f>
        <v/>
      </c>
      <c r="N7" s="7">
        <f>100</f>
        <v/>
      </c>
      <c r="O7" s="7">
        <f>H7*2.0</f>
        <v/>
      </c>
      <c r="P7" s="7">
        <f>H7*1.5</f>
        <v/>
      </c>
      <c r="Q7" s="7">
        <f>H7*1.0</f>
        <v/>
      </c>
      <c r="R7" s="7">
        <f>H7*0.7</f>
        <v/>
      </c>
      <c r="T7" s="5" t="n"/>
      <c r="U7" s="5" t="n"/>
      <c r="V7" s="5" t="n"/>
      <c r="W7" s="5" t="n"/>
    </row>
    <row r="8">
      <c r="A8" s="6" t="inlineStr">
        <is>
          <t>01:29:19 PM</t>
        </is>
      </c>
      <c r="B8" s="6" t="n">
        <v>125.97</v>
      </c>
      <c r="C8" s="6" t="n">
        <v>19.314</v>
      </c>
      <c r="D8" s="7">
        <f>B8*C8*G8</f>
        <v/>
      </c>
      <c r="E8" s="7">
        <f>SQRT(MAX(0, F8^2 - D8^2))</f>
        <v/>
      </c>
      <c r="F8" s="7">
        <f>B8*C8</f>
        <v/>
      </c>
      <c r="G8" s="6" t="n">
        <v>0.8762</v>
      </c>
      <c r="H8" s="6" t="n">
        <v>4.61</v>
      </c>
      <c r="I8" s="6" t="n">
        <v>1.841</v>
      </c>
      <c r="J8" s="6" t="n">
        <v>60</v>
      </c>
      <c r="K8" s="6" t="n">
        <v>44.8</v>
      </c>
      <c r="L8" s="7">
        <f>SQRT((B8^2+C8^2+D8^2+E8^2+F8^2+G8^2+H8^2+I8^2+J8^2+K8^2)/10)</f>
        <v/>
      </c>
      <c r="M8" s="7">
        <f>MAX(0, MIN(1, 1 - (I8/15)*0.7 - (H8/30)*0.3))*100</f>
        <v/>
      </c>
      <c r="N8" s="7">
        <f>100</f>
        <v/>
      </c>
      <c r="O8" s="7">
        <f>H8*2.0</f>
        <v/>
      </c>
      <c r="P8" s="7">
        <f>H8*1.5</f>
        <v/>
      </c>
      <c r="Q8" s="7">
        <f>H8*1.0</f>
        <v/>
      </c>
      <c r="R8" s="7">
        <f>H8*0.7</f>
        <v/>
      </c>
      <c r="T8" s="5" t="n"/>
      <c r="U8" s="5" t="n"/>
      <c r="V8" s="5" t="n"/>
      <c r="W8" s="5" t="n"/>
    </row>
    <row r="9">
      <c r="A9" s="6" t="inlineStr">
        <is>
          <t>01:29:20 PM</t>
        </is>
      </c>
      <c r="B9" s="6" t="n">
        <v>126.12</v>
      </c>
      <c r="C9" s="6" t="n">
        <v>19.225</v>
      </c>
      <c r="D9" s="7">
        <f>B9*C9*G9</f>
        <v/>
      </c>
      <c r="E9" s="7">
        <f>SQRT(MAX(0, F9^2 - D9^2))</f>
        <v/>
      </c>
      <c r="F9" s="7">
        <f>B9*C9</f>
        <v/>
      </c>
      <c r="G9" s="6" t="n">
        <v>0.8784999999999999</v>
      </c>
      <c r="H9" s="6" t="n">
        <v>4.77</v>
      </c>
      <c r="I9" s="6" t="n">
        <v>1.831</v>
      </c>
      <c r="J9" s="6" t="n">
        <v>60</v>
      </c>
      <c r="K9" s="6" t="n">
        <v>44.8</v>
      </c>
      <c r="L9" s="7">
        <f>SQRT((B9^2+C9^2+D9^2+E9^2+F9^2+G9^2+H9^2+I9^2+J9^2+K9^2)/10)</f>
        <v/>
      </c>
      <c r="M9" s="7">
        <f>MAX(0, MIN(1, 1 - (I9/15)*0.7 - (H9/30)*0.3))*100</f>
        <v/>
      </c>
      <c r="N9" s="7">
        <f>100</f>
        <v/>
      </c>
      <c r="O9" s="7">
        <f>H9*2.0</f>
        <v/>
      </c>
      <c r="P9" s="7">
        <f>H9*1.5</f>
        <v/>
      </c>
      <c r="Q9" s="7">
        <f>H9*1.0</f>
        <v/>
      </c>
      <c r="R9" s="7">
        <f>H9*0.7</f>
        <v/>
      </c>
      <c r="T9" s="5" t="n"/>
      <c r="U9" s="5" t="n"/>
      <c r="V9" s="5" t="n"/>
      <c r="W9" s="5" t="n"/>
    </row>
    <row r="10">
      <c r="A10" s="6" t="inlineStr">
        <is>
          <t>01:29:21 PM</t>
        </is>
      </c>
      <c r="B10" s="6" t="n">
        <v>126.57</v>
      </c>
      <c r="C10" s="6" t="n">
        <v>18.969</v>
      </c>
      <c r="D10" s="7">
        <f>B10*C10*G10</f>
        <v/>
      </c>
      <c r="E10" s="7">
        <f>SQRT(MAX(0, F10^2 - D10^2))</f>
        <v/>
      </c>
      <c r="F10" s="7">
        <f>B10*C10</f>
        <v/>
      </c>
      <c r="G10" s="6" t="n">
        <v>0.8763</v>
      </c>
      <c r="H10" s="6" t="n">
        <v>4.62</v>
      </c>
      <c r="I10" s="6" t="n">
        <v>1.89</v>
      </c>
      <c r="J10" s="6" t="n">
        <v>60</v>
      </c>
      <c r="K10" s="6" t="n">
        <v>44.8</v>
      </c>
      <c r="L10" s="7">
        <f>SQRT((B10^2+C10^2+D10^2+E10^2+F10^2+G10^2+H10^2+I10^2+J10^2+K10^2)/10)</f>
        <v/>
      </c>
      <c r="M10" s="7">
        <f>MAX(0, MIN(1, 1 - (I10/15)*0.7 - (H10/30)*0.3))*100</f>
        <v/>
      </c>
      <c r="N10" s="7">
        <f>100</f>
        <v/>
      </c>
      <c r="O10" s="7">
        <f>H10*2.0</f>
        <v/>
      </c>
      <c r="P10" s="7">
        <f>H10*1.5</f>
        <v/>
      </c>
      <c r="Q10" s="7">
        <f>H10*1.0</f>
        <v/>
      </c>
      <c r="R10" s="7">
        <f>H10*0.7</f>
        <v/>
      </c>
      <c r="T10" s="5" t="n"/>
      <c r="U10" s="5" t="n"/>
      <c r="V10" s="5" t="n"/>
      <c r="W10" s="5" t="n"/>
    </row>
    <row r="11">
      <c r="A11" s="6" t="inlineStr">
        <is>
          <t>01:29:22 PM</t>
        </is>
      </c>
      <c r="B11" s="6" t="n">
        <v>126.92</v>
      </c>
      <c r="C11" s="6" t="n">
        <v>18.593</v>
      </c>
      <c r="D11" s="7">
        <f>B11*C11*G11</f>
        <v/>
      </c>
      <c r="E11" s="7">
        <f>SQRT(MAX(0, F11^2 - D11^2))</f>
        <v/>
      </c>
      <c r="F11" s="7">
        <f>B11*C11</f>
        <v/>
      </c>
      <c r="G11" s="6" t="n">
        <v>0.878</v>
      </c>
      <c r="H11" s="6" t="n">
        <v>4.46</v>
      </c>
      <c r="I11" s="6" t="n">
        <v>1.853</v>
      </c>
      <c r="J11" s="6" t="n">
        <v>60</v>
      </c>
      <c r="K11" s="6" t="n">
        <v>44.8</v>
      </c>
      <c r="L11" s="7">
        <f>SQRT((B11^2+C11^2+D11^2+E11^2+F11^2+G11^2+H11^2+I11^2+J11^2+K11^2)/10)</f>
        <v/>
      </c>
      <c r="M11" s="7">
        <f>MAX(0, MIN(1, 1 - (I11/15)*0.7 - (H11/30)*0.3))*100</f>
        <v/>
      </c>
      <c r="N11" s="7">
        <f>100</f>
        <v/>
      </c>
      <c r="O11" s="7">
        <f>H11*2.0</f>
        <v/>
      </c>
      <c r="P11" s="7">
        <f>H11*1.5</f>
        <v/>
      </c>
      <c r="Q11" s="7">
        <f>H11*1.0</f>
        <v/>
      </c>
      <c r="R11" s="7">
        <f>H11*0.7</f>
        <v/>
      </c>
      <c r="T11" s="5" t="n"/>
      <c r="U11" s="5" t="n"/>
      <c r="V11" s="5" t="n"/>
      <c r="W11" s="5" t="n"/>
    </row>
    <row r="12">
      <c r="A12" s="6" t="inlineStr">
        <is>
          <t>01:29:23 PM</t>
        </is>
      </c>
      <c r="B12" s="6" t="n">
        <v>127.54</v>
      </c>
      <c r="C12" s="6" t="n">
        <v>18.183</v>
      </c>
      <c r="D12" s="7">
        <f>B12*C12*G12</f>
        <v/>
      </c>
      <c r="E12" s="7">
        <f>SQRT(MAX(0, F12^2 - D12^2))</f>
        <v/>
      </c>
      <c r="F12" s="7">
        <f>B12*C12</f>
        <v/>
      </c>
      <c r="G12" s="6" t="n">
        <v>0.8802</v>
      </c>
      <c r="H12" s="6" t="n">
        <v>4.27</v>
      </c>
      <c r="I12" s="6" t="n">
        <v>1.822</v>
      </c>
      <c r="J12" s="6" t="n">
        <v>60</v>
      </c>
      <c r="K12" s="6" t="n">
        <v>44.8</v>
      </c>
      <c r="L12" s="7">
        <f>SQRT((B12^2+C12^2+D12^2+E12^2+F12^2+G12^2+H12^2+I12^2+J12^2+K12^2)/10)</f>
        <v/>
      </c>
      <c r="M12" s="7">
        <f>MAX(0, MIN(1, 1 - (I12/15)*0.7 - (H12/30)*0.3))*100</f>
        <v/>
      </c>
      <c r="N12" s="7">
        <f>100</f>
        <v/>
      </c>
      <c r="O12" s="7">
        <f>H12*2.0</f>
        <v/>
      </c>
      <c r="P12" s="7">
        <f>H12*1.5</f>
        <v/>
      </c>
      <c r="Q12" s="7">
        <f>H12*1.0</f>
        <v/>
      </c>
      <c r="R12" s="7">
        <f>H12*0.7</f>
        <v/>
      </c>
      <c r="T12" s="5" t="n"/>
      <c r="U12" s="5" t="n"/>
      <c r="V12" s="5" t="n"/>
      <c r="W12" s="5" t="n"/>
    </row>
    <row r="13">
      <c r="A13" s="6" t="inlineStr">
        <is>
          <t>01:29:24 PM</t>
        </is>
      </c>
      <c r="B13" s="6" t="n">
        <v>127.9</v>
      </c>
      <c r="C13" s="6" t="n">
        <v>17.971</v>
      </c>
      <c r="D13" s="7">
        <f>B13*C13*G13</f>
        <v/>
      </c>
      <c r="E13" s="7">
        <f>SQRT(MAX(0, F13^2 - D13^2))</f>
        <v/>
      </c>
      <c r="F13" s="7">
        <f>B13*C13</f>
        <v/>
      </c>
      <c r="G13" s="6" t="n">
        <v>0.8825</v>
      </c>
      <c r="H13" s="6" t="n">
        <v>4.3</v>
      </c>
      <c r="I13" s="6" t="n">
        <v>1.795</v>
      </c>
      <c r="J13" s="6" t="n">
        <v>60</v>
      </c>
      <c r="K13" s="6" t="n">
        <v>44.9</v>
      </c>
      <c r="L13" s="7">
        <f>SQRT((B13^2+C13^2+D13^2+E13^2+F13^2+G13^2+H13^2+I13^2+J13^2+K13^2)/10)</f>
        <v/>
      </c>
      <c r="M13" s="7">
        <f>MAX(0, MIN(1, 1 - (I13/15)*0.7 - (H13/30)*0.3))*100</f>
        <v/>
      </c>
      <c r="N13" s="7">
        <f>100</f>
        <v/>
      </c>
      <c r="O13" s="7">
        <f>H13*2.0</f>
        <v/>
      </c>
      <c r="P13" s="7">
        <f>H13*1.5</f>
        <v/>
      </c>
      <c r="Q13" s="7">
        <f>H13*1.0</f>
        <v/>
      </c>
      <c r="R13" s="7">
        <f>H13*0.7</f>
        <v/>
      </c>
      <c r="T13" s="5" t="n"/>
      <c r="U13" s="5" t="n"/>
      <c r="V13" s="5" t="n"/>
      <c r="W13" s="5" t="n"/>
    </row>
    <row r="14">
      <c r="A14" s="6" t="inlineStr">
        <is>
          <t>01:29:25 PM</t>
        </is>
      </c>
      <c r="B14" s="6" t="n">
        <v>128.27</v>
      </c>
      <c r="C14" s="6" t="n">
        <v>17.771</v>
      </c>
      <c r="D14" s="7">
        <f>B14*C14*G14</f>
        <v/>
      </c>
      <c r="E14" s="7">
        <f>SQRT(MAX(0, F14^2 - D14^2))</f>
        <v/>
      </c>
      <c r="F14" s="7">
        <f>B14*C14</f>
        <v/>
      </c>
      <c r="G14" s="6" t="n">
        <v>0.8774</v>
      </c>
      <c r="H14" s="6" t="n">
        <v>4.28</v>
      </c>
      <c r="I14" s="6" t="n">
        <v>1.776</v>
      </c>
      <c r="J14" s="6" t="n">
        <v>60</v>
      </c>
      <c r="K14" s="6" t="n">
        <v>44.9</v>
      </c>
      <c r="L14" s="7">
        <f>SQRT((B14^2+C14^2+D14^2+E14^2+F14^2+G14^2+H14^2+I14^2+J14^2+K14^2)/10)</f>
        <v/>
      </c>
      <c r="M14" s="7">
        <f>MAX(0, MIN(1, 1 - (I14/15)*0.7 - (H14/30)*0.3))*100</f>
        <v/>
      </c>
      <c r="N14" s="7">
        <f>100</f>
        <v/>
      </c>
      <c r="O14" s="7">
        <f>H14*2.0</f>
        <v/>
      </c>
      <c r="P14" s="7">
        <f>H14*1.5</f>
        <v/>
      </c>
      <c r="Q14" s="7">
        <f>H14*1.0</f>
        <v/>
      </c>
      <c r="R14" s="7">
        <f>H14*0.7</f>
        <v/>
      </c>
      <c r="T14" s="5" t="n"/>
      <c r="U14" s="5" t="n"/>
      <c r="V14" s="5" t="n"/>
      <c r="W14" s="5" t="n"/>
    </row>
    <row r="15">
      <c r="A15" s="6" t="inlineStr">
        <is>
          <t>01:29:26 PM</t>
        </is>
      </c>
      <c r="B15" s="6" t="n">
        <v>128.45</v>
      </c>
      <c r="C15" s="6" t="n">
        <v>17.691</v>
      </c>
      <c r="D15" s="7">
        <f>B15*C15*G15</f>
        <v/>
      </c>
      <c r="E15" s="7">
        <f>SQRT(MAX(0, F15^2 - D15^2))</f>
        <v/>
      </c>
      <c r="F15" s="7">
        <f>B15*C15</f>
        <v/>
      </c>
      <c r="G15" s="6" t="n">
        <v>0.8794</v>
      </c>
      <c r="H15" s="6" t="n">
        <v>4.61</v>
      </c>
      <c r="I15" s="6" t="n">
        <v>1.729</v>
      </c>
      <c r="J15" s="6" t="n">
        <v>60</v>
      </c>
      <c r="K15" s="6" t="n">
        <v>45</v>
      </c>
      <c r="L15" s="7">
        <f>SQRT((B15^2+C15^2+D15^2+E15^2+F15^2+G15^2+H15^2+I15^2+J15^2+K15^2)/10)</f>
        <v/>
      </c>
      <c r="M15" s="7">
        <f>MAX(0, MIN(1, 1 - (I15/15)*0.7 - (H15/30)*0.3))*100</f>
        <v/>
      </c>
      <c r="N15" s="7">
        <f>100</f>
        <v/>
      </c>
      <c r="O15" s="7">
        <f>H15*2.0</f>
        <v/>
      </c>
      <c r="P15" s="7">
        <f>H15*1.5</f>
        <v/>
      </c>
      <c r="Q15" s="7">
        <f>H15*1.0</f>
        <v/>
      </c>
      <c r="R15" s="7">
        <f>H15*0.7</f>
        <v/>
      </c>
      <c r="T15" s="5" t="n"/>
      <c r="U15" s="5" t="n"/>
      <c r="V15" s="5" t="n"/>
      <c r="W15" s="5" t="n"/>
    </row>
    <row r="16">
      <c r="A16" s="6" t="inlineStr">
        <is>
          <t>01:29:27 PM</t>
        </is>
      </c>
      <c r="B16" s="6" t="n">
        <v>128.04</v>
      </c>
      <c r="C16" s="6" t="n">
        <v>17.957</v>
      </c>
      <c r="D16" s="7">
        <f>B16*C16*G16</f>
        <v/>
      </c>
      <c r="E16" s="7">
        <f>SQRT(MAX(0, F16^2 - D16^2))</f>
        <v/>
      </c>
      <c r="F16" s="7">
        <f>B16*C16</f>
        <v/>
      </c>
      <c r="G16" s="6" t="n">
        <v>0.883</v>
      </c>
      <c r="H16" s="6" t="n">
        <v>4.72</v>
      </c>
      <c r="I16" s="6" t="n">
        <v>1.766</v>
      </c>
      <c r="J16" s="6" t="n">
        <v>60</v>
      </c>
      <c r="K16" s="6" t="n">
        <v>45</v>
      </c>
      <c r="L16" s="7">
        <f>SQRT((B16^2+C16^2+D16^2+E16^2+F16^2+G16^2+H16^2+I16^2+J16^2+K16^2)/10)</f>
        <v/>
      </c>
      <c r="M16" s="7">
        <f>MAX(0, MIN(1, 1 - (I16/15)*0.7 - (H16/30)*0.3))*100</f>
        <v/>
      </c>
      <c r="N16" s="7">
        <f>100</f>
        <v/>
      </c>
      <c r="O16" s="7">
        <f>H16*2.0</f>
        <v/>
      </c>
      <c r="P16" s="7">
        <f>H16*1.5</f>
        <v/>
      </c>
      <c r="Q16" s="7">
        <f>H16*1.0</f>
        <v/>
      </c>
      <c r="R16" s="7">
        <f>H16*0.7</f>
        <v/>
      </c>
      <c r="T16" s="5" t="n"/>
      <c r="U16" s="5" t="n"/>
      <c r="V16" s="5" t="n"/>
      <c r="W16" s="5" t="n"/>
    </row>
    <row r="17">
      <c r="A17" s="6" t="inlineStr">
        <is>
          <t>01:29:28 PM</t>
        </is>
      </c>
      <c r="B17" s="6" t="n">
        <v>127.64</v>
      </c>
      <c r="C17" s="6" t="n">
        <v>18.265</v>
      </c>
      <c r="D17" s="7">
        <f>B17*C17*G17</f>
        <v/>
      </c>
      <c r="E17" s="7">
        <f>SQRT(MAX(0, F17^2 - D17^2))</f>
        <v/>
      </c>
      <c r="F17" s="7">
        <f>B17*C17</f>
        <v/>
      </c>
      <c r="G17" s="6" t="n">
        <v>0.8754999999999999</v>
      </c>
      <c r="H17" s="6" t="n">
        <v>4.72</v>
      </c>
      <c r="I17" s="6" t="n">
        <v>1.727</v>
      </c>
      <c r="J17" s="6" t="n">
        <v>60</v>
      </c>
      <c r="K17" s="6" t="n">
        <v>45.1</v>
      </c>
      <c r="L17" s="7">
        <f>SQRT((B17^2+C17^2+D17^2+E17^2+F17^2+G17^2+H17^2+I17^2+J17^2+K17^2)/10)</f>
        <v/>
      </c>
      <c r="M17" s="7">
        <f>MAX(0, MIN(1, 1 - (I17/15)*0.7 - (H17/30)*0.3))*100</f>
        <v/>
      </c>
      <c r="N17" s="7">
        <f>100</f>
        <v/>
      </c>
      <c r="O17" s="7">
        <f>H17*2.0</f>
        <v/>
      </c>
      <c r="P17" s="7">
        <f>H17*1.5</f>
        <v/>
      </c>
      <c r="Q17" s="7">
        <f>H17*1.0</f>
        <v/>
      </c>
      <c r="R17" s="7">
        <f>H17*0.7</f>
        <v/>
      </c>
      <c r="T17" s="5" t="n"/>
      <c r="U17" s="5" t="n"/>
      <c r="V17" s="5" t="n"/>
      <c r="W17" s="5" t="n"/>
    </row>
    <row r="18">
      <c r="A18" s="6" t="inlineStr">
        <is>
          <t>01:29:29 PM</t>
        </is>
      </c>
      <c r="B18" s="6" t="n">
        <v>126.73</v>
      </c>
      <c r="C18" s="6" t="n">
        <v>18.583</v>
      </c>
      <c r="D18" s="7">
        <f>B18*C18*G18</f>
        <v/>
      </c>
      <c r="E18" s="7">
        <f>SQRT(MAX(0, F18^2 - D18^2))</f>
        <v/>
      </c>
      <c r="F18" s="7">
        <f>B18*C18</f>
        <v/>
      </c>
      <c r="G18" s="6" t="n">
        <v>0.8772</v>
      </c>
      <c r="H18" s="6" t="n">
        <v>4.75</v>
      </c>
      <c r="I18" s="6" t="n">
        <v>1.725</v>
      </c>
      <c r="J18" s="6" t="n">
        <v>60</v>
      </c>
      <c r="K18" s="6" t="n">
        <v>45.1</v>
      </c>
      <c r="L18" s="7">
        <f>SQRT((B18^2+C18^2+D18^2+E18^2+F18^2+G18^2+H18^2+I18^2+J18^2+K18^2)/10)</f>
        <v/>
      </c>
      <c r="M18" s="7">
        <f>MAX(0, MIN(1, 1 - (I18/15)*0.7 - (H18/30)*0.3))*100</f>
        <v/>
      </c>
      <c r="N18" s="7">
        <f>100</f>
        <v/>
      </c>
      <c r="O18" s="7">
        <f>H18*2.0</f>
        <v/>
      </c>
      <c r="P18" s="7">
        <f>H18*1.5</f>
        <v/>
      </c>
      <c r="Q18" s="7">
        <f>H18*1.0</f>
        <v/>
      </c>
      <c r="R18" s="7">
        <f>H18*0.7</f>
        <v/>
      </c>
      <c r="T18" s="5" t="n"/>
      <c r="U18" s="5" t="n"/>
      <c r="V18" s="5" t="n"/>
      <c r="W18" s="5" t="n"/>
    </row>
    <row r="19">
      <c r="A19" s="6" t="inlineStr">
        <is>
          <t>01:29:30 PM</t>
        </is>
      </c>
      <c r="B19" s="6" t="n">
        <v>126.45</v>
      </c>
      <c r="C19" s="6" t="n">
        <v>18.965</v>
      </c>
      <c r="D19" s="7">
        <f>B19*C19*G19</f>
        <v/>
      </c>
      <c r="E19" s="7">
        <f>SQRT(MAX(0, F19^2 - D19^2))</f>
        <v/>
      </c>
      <c r="F19" s="7">
        <f>B19*C19</f>
        <v/>
      </c>
      <c r="G19" s="6" t="n">
        <v>0.8782</v>
      </c>
      <c r="H19" s="6" t="n">
        <v>4.57</v>
      </c>
      <c r="I19" s="6" t="n">
        <v>1.704</v>
      </c>
      <c r="J19" s="6" t="n">
        <v>60</v>
      </c>
      <c r="K19" s="6" t="n">
        <v>45.2</v>
      </c>
      <c r="L19" s="7">
        <f>SQRT((B19^2+C19^2+D19^2+E19^2+F19^2+G19^2+H19^2+I19^2+J19^2+K19^2)/10)</f>
        <v/>
      </c>
      <c r="M19" s="7">
        <f>MAX(0, MIN(1, 1 - (I19/15)*0.7 - (H19/30)*0.3))*100</f>
        <v/>
      </c>
      <c r="N19" s="7">
        <f>100</f>
        <v/>
      </c>
      <c r="O19" s="7">
        <f>H19*2.0</f>
        <v/>
      </c>
      <c r="P19" s="7">
        <f>H19*1.5</f>
        <v/>
      </c>
      <c r="Q19" s="7">
        <f>H19*1.0</f>
        <v/>
      </c>
      <c r="R19" s="7">
        <f>H19*0.7</f>
        <v/>
      </c>
      <c r="T19" s="5" t="n"/>
      <c r="U19" s="5" t="n"/>
      <c r="V19" s="5" t="n"/>
      <c r="W19" s="5" t="n"/>
    </row>
    <row r="20">
      <c r="T20" s="5" t="n"/>
      <c r="U20" s="5" t="n"/>
      <c r="V20" s="5" t="n"/>
      <c r="W20" s="5" t="n"/>
    </row>
    <row r="21">
      <c r="A21" s="3" t="inlineStr">
        <is>
          <t>PROMEDIO</t>
        </is>
      </c>
      <c r="B21" s="9">
        <f>AVERAGE(B5:B19)</f>
        <v/>
      </c>
      <c r="C21" s="9">
        <f>AVERAGE(C5:C19)</f>
        <v/>
      </c>
      <c r="D21" s="9">
        <f>AVERAGE(D5:D19)</f>
        <v/>
      </c>
      <c r="E21" s="9">
        <f>AVERAGE(E5:E19)</f>
        <v/>
      </c>
      <c r="F21" s="9">
        <f>AVERAGE(F5:F19)</f>
        <v/>
      </c>
      <c r="G21" s="9">
        <f>AVERAGE(G5:G19)</f>
        <v/>
      </c>
      <c r="H21" s="9">
        <f>AVERAGE(H5:H19)</f>
        <v/>
      </c>
      <c r="I21" s="9">
        <f>AVERAGE(I5:I19)</f>
        <v/>
      </c>
      <c r="J21" s="9">
        <f>AVERAGE(J5:J19)</f>
        <v/>
      </c>
      <c r="K21" s="9">
        <f>AVERAGE(K5:K19)</f>
        <v/>
      </c>
      <c r="L21" s="9">
        <f>AVERAGE(L5:L19)</f>
        <v/>
      </c>
      <c r="M21" s="9">
        <f>AVERAGE(M5:M19)</f>
        <v/>
      </c>
      <c r="N21" s="9">
        <f>AVERAGE(N5:N19)</f>
        <v/>
      </c>
      <c r="O21" s="9">
        <f>AVERAGE(O5:O19)</f>
        <v/>
      </c>
      <c r="P21" s="9">
        <f>AVERAGE(P5:P19)</f>
        <v/>
      </c>
      <c r="Q21" s="9">
        <f>AVERAGE(Q5:Q19)</f>
        <v/>
      </c>
      <c r="R21" s="9">
        <f>AVERAGE(R5:R19)</f>
        <v/>
      </c>
      <c r="T21" s="5" t="n"/>
      <c r="U21" s="5" t="n"/>
      <c r="V21" s="5" t="n"/>
      <c r="W21" s="5" t="n"/>
    </row>
    <row r="22">
      <c r="T22" s="5" t="n"/>
      <c r="U22" s="5" t="n"/>
      <c r="V22" s="5" t="n"/>
      <c r="W22" s="5" t="n"/>
    </row>
    <row r="23">
      <c r="T23" s="5" t="n"/>
      <c r="U23" s="5" t="n"/>
      <c r="V23" s="5" t="n"/>
      <c r="W23" s="5" t="n"/>
    </row>
    <row r="24">
      <c r="T24" s="5" t="n"/>
      <c r="U24" s="5" t="n"/>
      <c r="V24" s="5" t="n"/>
      <c r="W24" s="5" t="n"/>
    </row>
    <row r="25">
      <c r="T25" s="5" t="n"/>
      <c r="U25" s="5" t="n"/>
      <c r="V25" s="5" t="n"/>
      <c r="W25" s="5" t="n"/>
    </row>
    <row r="26">
      <c r="T26" s="5" t="n"/>
      <c r="U26" s="5" t="n"/>
      <c r="V26" s="5" t="n"/>
      <c r="W26" s="5" t="n"/>
    </row>
    <row r="27">
      <c r="T27" s="5" t="n"/>
      <c r="U27" s="5" t="n"/>
      <c r="V27" s="5" t="n"/>
      <c r="W27" s="5" t="n"/>
    </row>
    <row r="28">
      <c r="T28" s="5" t="n"/>
      <c r="U28" s="5" t="n"/>
      <c r="V28" s="5" t="n"/>
      <c r="W28" s="5" t="n"/>
    </row>
    <row r="29">
      <c r="T29" s="5" t="n"/>
      <c r="U29" s="5" t="n"/>
      <c r="V29" s="5" t="n"/>
      <c r="W29" s="5" t="n"/>
    </row>
    <row r="30">
      <c r="T30" s="5" t="n"/>
      <c r="U30" s="5" t="n"/>
      <c r="V30" s="5" t="n"/>
      <c r="W30" s="5" t="n"/>
    </row>
    <row r="31">
      <c r="T31" s="5" t="n"/>
      <c r="U31" s="5" t="n"/>
      <c r="V31" s="5" t="n"/>
      <c r="W31" s="5" t="n"/>
    </row>
    <row r="32">
      <c r="T32" s="5" t="n"/>
      <c r="U32" s="5" t="n"/>
      <c r="V32" s="5" t="n"/>
      <c r="W32" s="5" t="n"/>
    </row>
    <row r="33">
      <c r="T33" s="5" t="n"/>
      <c r="U33" s="5" t="n"/>
      <c r="V33" s="5" t="n"/>
      <c r="W33" s="5" t="n"/>
    </row>
    <row r="34">
      <c r="T34" s="5" t="n"/>
      <c r="U34" s="5" t="n"/>
      <c r="V34" s="5" t="n"/>
      <c r="W34" s="5" t="n"/>
    </row>
    <row r="35">
      <c r="T35" s="5" t="n"/>
      <c r="U35" s="5" t="n"/>
      <c r="V35" s="5" t="n"/>
      <c r="W35" s="5" t="n"/>
    </row>
    <row r="36">
      <c r="T36" s="5" t="n"/>
      <c r="U36" s="5" t="n"/>
      <c r="V36" s="5" t="n"/>
      <c r="W36" s="5" t="n"/>
    </row>
    <row r="37">
      <c r="T37" s="5" t="n"/>
      <c r="U37" s="5" t="n"/>
      <c r="V37" s="5" t="n"/>
      <c r="W37" s="5" t="n"/>
    </row>
    <row r="38">
      <c r="T38" s="5" t="n"/>
      <c r="U38" s="5" t="n"/>
      <c r="V38" s="5" t="n"/>
      <c r="W38" s="5" t="n"/>
    </row>
    <row r="39">
      <c r="T39" s="5" t="n"/>
      <c r="U39" s="5" t="n"/>
      <c r="V39" s="5" t="n"/>
      <c r="W39" s="5" t="n"/>
    </row>
    <row r="40">
      <c r="T40" s="5" t="n"/>
      <c r="U40" s="5" t="n"/>
      <c r="V40" s="5" t="n"/>
      <c r="W40" s="5" t="n"/>
    </row>
    <row r="41">
      <c r="T41" s="5" t="n"/>
      <c r="U41" s="5" t="n"/>
      <c r="V41" s="5" t="n"/>
      <c r="W41" s="5" t="n"/>
    </row>
    <row r="42">
      <c r="T42" s="5" t="n"/>
      <c r="U42" s="5" t="n"/>
      <c r="V42" s="5" t="n"/>
      <c r="W42" s="5" t="n"/>
    </row>
    <row r="43">
      <c r="T43" s="5" t="n"/>
      <c r="U43" s="5" t="n"/>
      <c r="V43" s="5" t="n"/>
      <c r="W43" s="5" t="n"/>
    </row>
    <row r="44">
      <c r="T44" s="5" t="n"/>
      <c r="U44" s="5" t="n"/>
      <c r="V44" s="5" t="n"/>
      <c r="W44" s="5" t="n"/>
    </row>
    <row r="45">
      <c r="T45" s="5" t="n"/>
      <c r="U45" s="5" t="n"/>
      <c r="V45" s="5" t="n"/>
      <c r="W45" s="5" t="n"/>
    </row>
    <row r="46">
      <c r="T46" s="5" t="n"/>
      <c r="U46" s="5" t="n"/>
      <c r="V46" s="5" t="n"/>
      <c r="W46" s="5" t="n"/>
    </row>
    <row r="47">
      <c r="T47" s="5" t="n"/>
      <c r="U47" s="5" t="n"/>
      <c r="V47" s="5" t="n"/>
      <c r="W47" s="5" t="n"/>
    </row>
    <row r="48">
      <c r="T48" s="5" t="n"/>
      <c r="U48" s="5" t="n"/>
      <c r="V48" s="5" t="n"/>
      <c r="W48" s="5" t="n"/>
    </row>
    <row r="49">
      <c r="T49" s="5" t="n"/>
      <c r="U49" s="5" t="n"/>
      <c r="V49" s="5" t="n"/>
      <c r="W49" s="5" t="n"/>
    </row>
    <row r="50">
      <c r="T50" s="5" t="n"/>
      <c r="U50" s="5" t="n"/>
      <c r="V50" s="5" t="n"/>
      <c r="W50" s="5" t="n"/>
    </row>
    <row r="51">
      <c r="T51" s="5" t="n"/>
      <c r="U51" s="5" t="n"/>
      <c r="V51" s="5" t="n"/>
      <c r="W51" s="5" t="n"/>
    </row>
    <row r="52">
      <c r="T52" s="5" t="n"/>
      <c r="U52" s="5" t="n"/>
      <c r="V52" s="5" t="n"/>
      <c r="W52" s="5" t="n"/>
    </row>
    <row r="53">
      <c r="T53" s="5" t="n"/>
      <c r="U53" s="5" t="n"/>
      <c r="V53" s="5" t="n"/>
      <c r="W53" s="5" t="n"/>
    </row>
    <row r="54">
      <c r="T54" s="5" t="n"/>
      <c r="U54" s="5" t="n"/>
      <c r="V54" s="5" t="n"/>
      <c r="W54" s="5" t="n"/>
    </row>
    <row r="55">
      <c r="T55" s="5" t="n"/>
      <c r="U55" s="5" t="n"/>
      <c r="V55" s="5" t="n"/>
      <c r="W55" s="5" t="n"/>
    </row>
    <row r="56">
      <c r="T56" s="5" t="n"/>
      <c r="U56" s="5" t="n"/>
      <c r="V56" s="5" t="n"/>
      <c r="W56" s="5" t="n"/>
    </row>
  </sheetData>
  <mergeCells count="4">
    <mergeCell ref="A1:Z1"/>
    <mergeCell ref="T4:W4"/>
    <mergeCell ref="A2:Z2"/>
    <mergeCell ref="T5:W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2026-04-29T20:29:31Z</dcterms:created>
  <dcterms:modified xsi:type="dcterms:W3CDTF">2026-04-29T20:29:31Z</dcterms:modified>
</cp:coreProperties>
</file>